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Sales data profitability report (Ekundayo Sopeju)\"/>
    </mc:Choice>
  </mc:AlternateContent>
  <bookViews>
    <workbookView xWindow="-60" yWindow="-60" windowWidth="15480" windowHeight="11640"/>
  </bookViews>
  <sheets>
    <sheet name="SalesData" sheetId="2" r:id="rId1"/>
    <sheet name="Total Sales by Category" sheetId="4" r:id="rId2"/>
    <sheet name="Total Sales by City" sheetId="5" r:id="rId3"/>
    <sheet name="Total Sales by Gender" sheetId="7" r:id="rId4"/>
  </sheets>
  <definedNames>
    <definedName name="ExternalData_1" localSheetId="0" hidden="1">SalesData!$A$1:$M$100</definedName>
  </definedName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" i="2" l="1" a="1"/>
  <c r="K105" i="2" s="1"/>
  <c r="F105" i="2" l="1"/>
  <c r="F104" i="2"/>
  <c r="F103" i="2"/>
  <c r="K106" i="2" l="1"/>
  <c r="K104" i="2"/>
  <c r="K103" i="2"/>
  <c r="K102" i="2"/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</calcChain>
</file>

<file path=xl/connections.xml><?xml version="1.0" encoding="utf-8"?>
<connections xmlns="http://schemas.openxmlformats.org/spreadsheetml/2006/main">
  <connection id="1" keepAlive="1" name="Query - in" description="Connection to the 'in' query in the workbook." type="5" refreshedVersion="6" background="1" saveData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<sst xmlns="http://schemas.openxmlformats.org/spreadsheetml/2006/main" count="639" uniqueCount="53">
  <si>
    <t>OrderID</t>
  </si>
  <si>
    <t>CustomerName</t>
  </si>
  <si>
    <t>Gender</t>
  </si>
  <si>
    <t>Product</t>
  </si>
  <si>
    <t>Category</t>
  </si>
  <si>
    <t>Quantity</t>
  </si>
  <si>
    <t>UnitPrice</t>
  </si>
  <si>
    <t>City</t>
  </si>
  <si>
    <t>Salesperson</t>
  </si>
  <si>
    <t>Peter Doe</t>
  </si>
  <si>
    <t>Female</t>
  </si>
  <si>
    <t>Printer</t>
  </si>
  <si>
    <t>Electronics</t>
  </si>
  <si>
    <t>Emeka</t>
  </si>
  <si>
    <t>John Mensah</t>
  </si>
  <si>
    <t>Male</t>
  </si>
  <si>
    <t>Laptop</t>
  </si>
  <si>
    <t>Accra</t>
  </si>
  <si>
    <t>James Cole</t>
  </si>
  <si>
    <t>Mouse</t>
  </si>
  <si>
    <t>Bob</t>
  </si>
  <si>
    <t>Kofi Asare</t>
  </si>
  <si>
    <t>Diana</t>
  </si>
  <si>
    <t>Abuja</t>
  </si>
  <si>
    <t>Alice</t>
  </si>
  <si>
    <t>Sarah Ann</t>
  </si>
  <si>
    <t>Notebook</t>
  </si>
  <si>
    <t>Stationery</t>
  </si>
  <si>
    <t>Desk</t>
  </si>
  <si>
    <t>Furniture</t>
  </si>
  <si>
    <t>Lagos</t>
  </si>
  <si>
    <t>Grace Agyeman</t>
  </si>
  <si>
    <t>Charles</t>
  </si>
  <si>
    <t>Linda King</t>
  </si>
  <si>
    <t>Lome</t>
  </si>
  <si>
    <t>David Smith</t>
  </si>
  <si>
    <t>Kumasi</t>
  </si>
  <si>
    <t>Ama Owusu</t>
  </si>
  <si>
    <t>Chair</t>
  </si>
  <si>
    <t>OrderMonth</t>
  </si>
  <si>
    <t>OrderDay</t>
  </si>
  <si>
    <t>OrderYear</t>
  </si>
  <si>
    <t>Total Sales</t>
  </si>
  <si>
    <t>Unknown</t>
  </si>
  <si>
    <t>Mary Boakye</t>
  </si>
  <si>
    <t>Performance</t>
  </si>
  <si>
    <t>TOTAL SALES</t>
  </si>
  <si>
    <t>AVERAGE SALES</t>
  </si>
  <si>
    <t>HIGHEST SALES</t>
  </si>
  <si>
    <t>LOWEST SALES</t>
  </si>
  <si>
    <t>Sum of Total Sales</t>
  </si>
  <si>
    <t>Grand Total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</si>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</sst>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 SALES DATA (2).xlsx]Total Sales by Category!PivotTable1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1.0185067526415994E-16"/>
              <c:y val="-2.777777777777786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accent3">
            <a:lumMod val="40000"/>
            <a:lumOff val="6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27458114610673667"/>
          <c:w val="0.82248140857392826"/>
          <c:h val="0.5350426509186351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'Total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Category'!$A$4:$A$7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'Total Sales by Category'!$B$4:$B$7</c:f>
              <c:numCache>
                <c:formatCode>General</c:formatCode>
                <c:ptCount val="3"/>
                <c:pt idx="0">
                  <c:v>181250</c:v>
                </c:pt>
                <c:pt idx="1">
                  <c:v>18115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F-415A-8614-4A7DD0860F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055502192"/>
        <c:axId val="2055496784"/>
        <c:axId val="0"/>
      </c:bar3DChart>
      <c:catAx>
        <c:axId val="20555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96784"/>
        <c:crosses val="autoZero"/>
        <c:auto val="1"/>
        <c:lblAlgn val="ctr"/>
        <c:lblOffset val="100"/>
        <c:noMultiLvlLbl val="0"/>
      </c:catAx>
      <c:valAx>
        <c:axId val="2055496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550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SALES DATA (2).xlsx]Total Sales by City!PivotTable2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latin typeface="Times New Roman" panose="02020603050405020304" pitchFamily="18" charset="0"/>
              </a:rPr>
              <a:t>Total Sales by City</a:t>
            </a:r>
          </a:p>
        </c:rich>
      </c:tx>
      <c:layout>
        <c:manualLayout>
          <c:xMode val="edge"/>
          <c:yMode val="edge"/>
          <c:x val="0.33797230026466202"/>
          <c:y val="7.5877950062389565E-2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10-4951-BF26-EC15984CA6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0-4951-BF26-EC15984CA6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0-4951-BF26-EC15984CA6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0-4951-BF26-EC15984CA6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10-4951-BF26-EC15984CA6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10-4951-BF26-EC15984CA6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City'!$A$4:$A$10</c:f>
              <c:strCache>
                <c:ptCount val="6"/>
                <c:pt idx="0">
                  <c:v>Abuja</c:v>
                </c:pt>
                <c:pt idx="1">
                  <c:v>Accra</c:v>
                </c:pt>
                <c:pt idx="2">
                  <c:v>Kumasi</c:v>
                </c:pt>
                <c:pt idx="3">
                  <c:v>Lagos</c:v>
                </c:pt>
                <c:pt idx="4">
                  <c:v>Lome</c:v>
                </c:pt>
                <c:pt idx="5">
                  <c:v>Unknown</c:v>
                </c:pt>
              </c:strCache>
            </c:strRef>
          </c:cat>
          <c:val>
            <c:numRef>
              <c:f>'Total Sales by City'!$B$4:$B$10</c:f>
              <c:numCache>
                <c:formatCode>General</c:formatCode>
                <c:ptCount val="6"/>
                <c:pt idx="0">
                  <c:v>38055</c:v>
                </c:pt>
                <c:pt idx="1">
                  <c:v>58795</c:v>
                </c:pt>
                <c:pt idx="2">
                  <c:v>47855</c:v>
                </c:pt>
                <c:pt idx="3">
                  <c:v>25130</c:v>
                </c:pt>
                <c:pt idx="4">
                  <c:v>29835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821-A61D-8DBAB5E52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1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SALES DATA (2).xlsx]Total Sales by Gender!PivotTable4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TotalSales</a:t>
            </a:r>
            <a:r>
              <a:rPr lang="en-US" b="1" baseline="0"/>
              <a:t>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  <a:sp3d>
            <a:contourClr>
              <a:schemeClr val="accent1">
                <a:lumMod val="40000"/>
                <a:lumOff val="6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'Total Sales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  <a:sp3d>
              <a:contourClr>
                <a:schemeClr val="accent1">
                  <a:lumMod val="40000"/>
                  <a:lumOff val="60000"/>
                </a:schemeClr>
              </a:contourClr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Sales by Gender'!$B$4:$B$7</c:f>
              <c:numCache>
                <c:formatCode>General</c:formatCode>
                <c:ptCount val="3"/>
                <c:pt idx="0">
                  <c:v>110105</c:v>
                </c:pt>
                <c:pt idx="1">
                  <c:v>79230</c:v>
                </c:pt>
                <c:pt idx="2">
                  <c:v>10370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A-47D5-9B86-8EDC69FBE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933584"/>
        <c:axId val="857924848"/>
        <c:axId val="862843600"/>
      </c:line3DChart>
      <c:catAx>
        <c:axId val="8579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24848"/>
        <c:crosses val="autoZero"/>
        <c:auto val="1"/>
        <c:lblAlgn val="ctr"/>
        <c:lblOffset val="100"/>
        <c:noMultiLvlLbl val="0"/>
      </c:catAx>
      <c:valAx>
        <c:axId val="8579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33584"/>
        <c:crosses val="autoZero"/>
        <c:crossBetween val="between"/>
      </c:valAx>
      <c:serAx>
        <c:axId val="8628436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24848"/>
        <c:crosses val="autoZero"/>
      </c:ser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6</xdr:row>
      <xdr:rowOff>4762</xdr:rowOff>
    </xdr:from>
    <xdr:to>
      <xdr:col>10</xdr:col>
      <xdr:colOff>533400</xdr:colOff>
      <xdr:row>20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1</xdr:row>
      <xdr:rowOff>133351</xdr:rowOff>
    </xdr:from>
    <xdr:to>
      <xdr:col>13</xdr:col>
      <xdr:colOff>333374</xdr:colOff>
      <xdr:row>24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2</xdr:row>
      <xdr:rowOff>123825</xdr:rowOff>
    </xdr:from>
    <xdr:to>
      <xdr:col>15</xdr:col>
      <xdr:colOff>552449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0.067397800929" createdVersion="6" refreshedVersion="6" minRefreshableVersion="3" recordCount="99">
  <cacheSource type="worksheet">
    <worksheetSource name="in"/>
  </cacheSource>
  <cacheFields count="14">
    <cacheField name="OrderID" numFmtId="0">
      <sharedItems containsSemiMixedTypes="0" containsString="0" containsNumber="1" containsInteger="1" minValue="1" maxValue="100"/>
    </cacheField>
    <cacheField name="OrderMonth" numFmtId="0">
      <sharedItems containsSemiMixedTypes="0" containsString="0" containsNumber="1" containsInteger="1" minValue="1" maxValue="12"/>
    </cacheField>
    <cacheField name="OrderDay" numFmtId="0">
      <sharedItems containsSemiMixedTypes="0" containsString="0" containsNumber="1" containsInteger="1" minValue="1" maxValue="28"/>
    </cacheField>
    <cacheField name="OrderYear" numFmtId="0">
      <sharedItems containsSemiMixedTypes="0" containsString="0" containsNumber="1" containsInteger="1" minValue="2026" maxValue="2026"/>
    </cacheField>
    <cacheField name="CustomerName" numFmtId="0">
      <sharedItems/>
    </cacheField>
    <cacheField name="Gender" numFmtId="0">
      <sharedItems count="3">
        <s v="Female"/>
        <s v="Male"/>
        <s v="Unknown"/>
      </sharedItems>
    </cacheField>
    <cacheField name="Product" numFmtId="0">
      <sharedItems/>
    </cacheField>
    <cacheField name="Category" numFmtId="0">
      <sharedItems count="3">
        <s v="Electronics"/>
        <s v="Stationery"/>
        <s v="Furniture"/>
      </sharedItems>
    </cacheField>
    <cacheField name="Quantity" numFmtId="0">
      <sharedItems containsSemiMixedTypes="0" containsString="0" containsNumber="1" containsInteger="1" minValue="0" maxValue="10"/>
    </cacheField>
    <cacheField name="UnitPrice" numFmtId="0">
      <sharedItems containsSemiMixedTypes="0" containsString="0" containsNumber="1" containsInteger="1" minValue="0" maxValue="1200"/>
    </cacheField>
    <cacheField name="Total Sales" numFmtId="0">
      <sharedItems containsSemiMixedTypes="0" containsString="0" containsNumber="1" containsInteger="1" minValue="0" maxValue="12000"/>
    </cacheField>
    <cacheField name="City" numFmtId="0">
      <sharedItems count="6">
        <s v="Accra"/>
        <s v="Kumasi"/>
        <s v="Abuja"/>
        <s v="Lagos"/>
        <s v="Lome"/>
        <s v="Unknown"/>
      </sharedItems>
    </cacheField>
    <cacheField name="Salesperson" numFmtId="0">
      <sharedItems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"/>
    <n v="1"/>
    <n v="24"/>
    <n v="2026"/>
    <s v="Peter Doe"/>
    <x v="0"/>
    <s v="Printer"/>
    <x v="0"/>
    <n v="2"/>
    <n v="250"/>
    <n v="500"/>
    <x v="0"/>
    <s v="Emeka"/>
    <s v="high"/>
  </r>
  <r>
    <n v="2"/>
    <n v="7"/>
    <n v="2"/>
    <n v="2026"/>
    <s v="John Mensah"/>
    <x v="1"/>
    <s v="Laptop"/>
    <x v="0"/>
    <n v="10"/>
    <n v="1200"/>
    <n v="12000"/>
    <x v="0"/>
    <s v="Emeka"/>
    <s v="high"/>
  </r>
  <r>
    <n v="3"/>
    <n v="7"/>
    <n v="8"/>
    <n v="2026"/>
    <s v="James Cole"/>
    <x v="2"/>
    <s v="Mouse"/>
    <x v="0"/>
    <n v="9"/>
    <n v="25"/>
    <n v="225"/>
    <x v="1"/>
    <s v="Bob"/>
    <s v="low"/>
  </r>
  <r>
    <n v="4"/>
    <n v="6"/>
    <n v="9"/>
    <n v="2026"/>
    <s v="Kofi Asare"/>
    <x v="0"/>
    <s v="Printer"/>
    <x v="0"/>
    <n v="7"/>
    <n v="250"/>
    <n v="1750"/>
    <x v="0"/>
    <s v="Diana"/>
    <s v="high"/>
  </r>
  <r>
    <n v="5"/>
    <n v="6"/>
    <n v="20"/>
    <n v="2026"/>
    <s v="Peter Doe"/>
    <x v="1"/>
    <s v="Laptop"/>
    <x v="0"/>
    <n v="6"/>
    <n v="1200"/>
    <n v="7200"/>
    <x v="2"/>
    <s v="Alice"/>
    <s v="high"/>
  </r>
  <r>
    <n v="6"/>
    <n v="11"/>
    <n v="20"/>
    <n v="2026"/>
    <s v="Sarah Ann"/>
    <x v="2"/>
    <s v="Notebook"/>
    <x v="1"/>
    <n v="5"/>
    <n v="5"/>
    <n v="25"/>
    <x v="0"/>
    <s v="Bob"/>
    <s v="low"/>
  </r>
  <r>
    <n v="7"/>
    <n v="4"/>
    <n v="28"/>
    <n v="2026"/>
    <s v="Mary Boakye"/>
    <x v="0"/>
    <s v="Desk"/>
    <x v="2"/>
    <n v="2"/>
    <n v="180"/>
    <n v="360"/>
    <x v="3"/>
    <s v="Bob"/>
    <s v="low"/>
  </r>
  <r>
    <n v="8"/>
    <n v="4"/>
    <n v="22"/>
    <n v="2026"/>
    <s v="Peter Doe"/>
    <x v="1"/>
    <s v="Desk"/>
    <x v="2"/>
    <n v="6"/>
    <n v="180"/>
    <n v="1080"/>
    <x v="0"/>
    <s v="Bob"/>
    <s v="high"/>
  </r>
  <r>
    <n v="9"/>
    <n v="7"/>
    <n v="9"/>
    <n v="2026"/>
    <s v="Grace Agyeman"/>
    <x v="0"/>
    <s v="Mouse"/>
    <x v="0"/>
    <n v="8"/>
    <n v="25"/>
    <n v="200"/>
    <x v="1"/>
    <s v="Alice"/>
    <s v="low"/>
  </r>
  <r>
    <n v="10"/>
    <n v="6"/>
    <n v="13"/>
    <n v="2026"/>
    <s v="Peter Doe"/>
    <x v="1"/>
    <s v="Mouse"/>
    <x v="0"/>
    <n v="1"/>
    <n v="25"/>
    <n v="25"/>
    <x v="0"/>
    <s v="Charles"/>
    <s v="low"/>
  </r>
  <r>
    <n v="12"/>
    <n v="7"/>
    <n v="19"/>
    <n v="2026"/>
    <s v="Linda King"/>
    <x v="1"/>
    <s v="Desk"/>
    <x v="2"/>
    <n v="10"/>
    <n v="180"/>
    <n v="1800"/>
    <x v="4"/>
    <s v="Diana"/>
    <s v="high"/>
  </r>
  <r>
    <n v="13"/>
    <n v="2"/>
    <n v="5"/>
    <n v="2026"/>
    <s v="Kofi Asare"/>
    <x v="0"/>
    <s v="Laptop"/>
    <x v="0"/>
    <n v="1"/>
    <n v="1200"/>
    <n v="1200"/>
    <x v="4"/>
    <s v="Diana"/>
    <s v="high"/>
  </r>
  <r>
    <n v="14"/>
    <n v="9"/>
    <n v="28"/>
    <n v="2026"/>
    <s v="John Mensah"/>
    <x v="1"/>
    <s v="Notebook"/>
    <x v="1"/>
    <n v="5"/>
    <n v="5"/>
    <n v="25"/>
    <x v="3"/>
    <s v="Charles"/>
    <s v="low"/>
  </r>
  <r>
    <n v="15"/>
    <n v="7"/>
    <n v="6"/>
    <n v="2026"/>
    <s v="James Cole"/>
    <x v="1"/>
    <s v="Laptop"/>
    <x v="0"/>
    <n v="5"/>
    <n v="1200"/>
    <n v="6000"/>
    <x v="3"/>
    <s v="Emeka"/>
    <s v="high"/>
  </r>
  <r>
    <n v="16"/>
    <n v="2"/>
    <n v="28"/>
    <n v="2026"/>
    <s v="Peter Doe"/>
    <x v="2"/>
    <s v="Mouse"/>
    <x v="0"/>
    <n v="9"/>
    <n v="25"/>
    <n v="225"/>
    <x v="1"/>
    <s v="Bob"/>
    <s v="low"/>
  </r>
  <r>
    <n v="17"/>
    <n v="1"/>
    <n v="20"/>
    <n v="2026"/>
    <s v="Sarah Ann"/>
    <x v="0"/>
    <s v="Notebook"/>
    <x v="1"/>
    <n v="0"/>
    <n v="5"/>
    <n v="0"/>
    <x v="1"/>
    <s v="Charles"/>
    <s v="low"/>
  </r>
  <r>
    <n v="18"/>
    <n v="4"/>
    <n v="19"/>
    <n v="2026"/>
    <s v="Mary Boakye"/>
    <x v="1"/>
    <s v="Mouse"/>
    <x v="0"/>
    <n v="1"/>
    <n v="25"/>
    <n v="25"/>
    <x v="1"/>
    <s v="Emeka"/>
    <s v="low"/>
  </r>
  <r>
    <n v="19"/>
    <n v="11"/>
    <n v="16"/>
    <n v="2026"/>
    <s v="Grace Agyeman"/>
    <x v="0"/>
    <s v="Mouse"/>
    <x v="0"/>
    <n v="3"/>
    <n v="25"/>
    <n v="75"/>
    <x v="2"/>
    <s v="Bob"/>
    <s v="low"/>
  </r>
  <r>
    <n v="20"/>
    <n v="12"/>
    <n v="10"/>
    <n v="2026"/>
    <s v="Linda King"/>
    <x v="1"/>
    <s v="Notebook"/>
    <x v="1"/>
    <n v="4"/>
    <n v="5"/>
    <n v="20"/>
    <x v="0"/>
    <s v="Bob"/>
    <s v="low"/>
  </r>
  <r>
    <n v="21"/>
    <n v="6"/>
    <n v="1"/>
    <n v="2026"/>
    <s v="David Smith"/>
    <x v="2"/>
    <s v="Mouse"/>
    <x v="0"/>
    <n v="2"/>
    <n v="25"/>
    <n v="50"/>
    <x v="0"/>
    <s v="Alice"/>
    <s v="low"/>
  </r>
  <r>
    <n v="22"/>
    <n v="1"/>
    <n v="28"/>
    <n v="2026"/>
    <s v="Sarah Ann"/>
    <x v="1"/>
    <s v="Mouse"/>
    <x v="0"/>
    <n v="2"/>
    <n v="25"/>
    <n v="50"/>
    <x v="2"/>
    <s v="Bob"/>
    <s v="low"/>
  </r>
  <r>
    <n v="23"/>
    <n v="12"/>
    <n v="19"/>
    <n v="2026"/>
    <s v="David Smith"/>
    <x v="0"/>
    <s v="Notebook"/>
    <x v="1"/>
    <n v="3"/>
    <n v="5"/>
    <n v="15"/>
    <x v="2"/>
    <s v="Bob"/>
    <s v="low"/>
  </r>
  <r>
    <n v="24"/>
    <n v="11"/>
    <n v="14"/>
    <n v="2026"/>
    <s v="Sarah Ann"/>
    <x v="0"/>
    <s v="Laptop"/>
    <x v="0"/>
    <n v="2"/>
    <n v="1200"/>
    <n v="2400"/>
    <x v="0"/>
    <s v="Alice"/>
    <s v="high"/>
  </r>
  <r>
    <n v="25"/>
    <n v="12"/>
    <n v="11"/>
    <n v="2026"/>
    <s v="Mary Boakye"/>
    <x v="0"/>
    <s v="Laptop"/>
    <x v="0"/>
    <n v="7"/>
    <n v="1200"/>
    <n v="8400"/>
    <x v="1"/>
    <s v="Diana"/>
    <s v="high"/>
  </r>
  <r>
    <n v="26"/>
    <n v="8"/>
    <n v="8"/>
    <n v="2026"/>
    <s v="Mary Boakye"/>
    <x v="0"/>
    <s v="Mouse"/>
    <x v="0"/>
    <n v="5"/>
    <n v="25"/>
    <n v="125"/>
    <x v="0"/>
    <s v="Alice"/>
    <s v="low"/>
  </r>
  <r>
    <n v="27"/>
    <n v="1"/>
    <n v="3"/>
    <n v="2026"/>
    <s v="Ama Owusu"/>
    <x v="0"/>
    <s v="Printer"/>
    <x v="0"/>
    <n v="9"/>
    <n v="250"/>
    <n v="2250"/>
    <x v="1"/>
    <s v="Diana"/>
    <s v="high"/>
  </r>
  <r>
    <n v="28"/>
    <n v="7"/>
    <n v="1"/>
    <n v="2026"/>
    <s v="Linda King"/>
    <x v="1"/>
    <s v="Laptop"/>
    <x v="0"/>
    <n v="3"/>
    <n v="1200"/>
    <n v="3600"/>
    <x v="3"/>
    <s v="Diana"/>
    <s v="high"/>
  </r>
  <r>
    <n v="29"/>
    <n v="11"/>
    <n v="23"/>
    <n v="2026"/>
    <s v="James Cole"/>
    <x v="0"/>
    <s v="Printer"/>
    <x v="0"/>
    <n v="9"/>
    <n v="250"/>
    <n v="2250"/>
    <x v="0"/>
    <s v="Emeka"/>
    <s v="high"/>
  </r>
  <r>
    <n v="30"/>
    <n v="1"/>
    <n v="24"/>
    <n v="2026"/>
    <s v="Sarah Ann"/>
    <x v="1"/>
    <s v="Printer"/>
    <x v="0"/>
    <n v="9"/>
    <n v="250"/>
    <n v="2250"/>
    <x v="1"/>
    <s v="Emeka"/>
    <s v="high"/>
  </r>
  <r>
    <n v="31"/>
    <n v="9"/>
    <n v="3"/>
    <n v="2026"/>
    <s v="Kofi Asare"/>
    <x v="1"/>
    <s v="Mouse"/>
    <x v="0"/>
    <n v="1"/>
    <n v="25"/>
    <n v="25"/>
    <x v="1"/>
    <s v="Diana"/>
    <s v="low"/>
  </r>
  <r>
    <n v="32"/>
    <n v="4"/>
    <n v="19"/>
    <n v="2026"/>
    <s v="David Smith"/>
    <x v="1"/>
    <s v="Laptop"/>
    <x v="0"/>
    <n v="10"/>
    <n v="1200"/>
    <n v="12000"/>
    <x v="4"/>
    <s v="Emeka"/>
    <s v="high"/>
  </r>
  <r>
    <n v="33"/>
    <n v="5"/>
    <n v="7"/>
    <n v="2026"/>
    <s v="Sarah Ann"/>
    <x v="0"/>
    <s v="Notebook"/>
    <x v="1"/>
    <n v="6"/>
    <n v="5"/>
    <n v="30"/>
    <x v="0"/>
    <s v="Charles"/>
    <s v="low"/>
  </r>
  <r>
    <n v="34"/>
    <n v="2"/>
    <n v="1"/>
    <n v="2026"/>
    <s v="James Cole"/>
    <x v="2"/>
    <s v="Chair"/>
    <x v="2"/>
    <n v="6"/>
    <n v="95"/>
    <n v="570"/>
    <x v="0"/>
    <s v="Emeka"/>
    <s v="high"/>
  </r>
  <r>
    <n v="35"/>
    <n v="5"/>
    <n v="5"/>
    <n v="2026"/>
    <s v="Sarah Ann"/>
    <x v="1"/>
    <s v="Mouse"/>
    <x v="0"/>
    <n v="9"/>
    <n v="25"/>
    <n v="225"/>
    <x v="1"/>
    <s v="Diana"/>
    <s v="low"/>
  </r>
  <r>
    <n v="36"/>
    <n v="10"/>
    <n v="26"/>
    <n v="2026"/>
    <s v="Grace Agyeman"/>
    <x v="1"/>
    <s v="Notebook"/>
    <x v="1"/>
    <n v="5"/>
    <n v="5"/>
    <n v="25"/>
    <x v="0"/>
    <s v="Alice"/>
    <s v="low"/>
  </r>
  <r>
    <n v="37"/>
    <n v="2"/>
    <n v="4"/>
    <n v="2026"/>
    <s v="Grace Agyeman"/>
    <x v="0"/>
    <s v="Mouse"/>
    <x v="0"/>
    <n v="5"/>
    <n v="25"/>
    <n v="125"/>
    <x v="0"/>
    <s v="Charles"/>
    <s v="low"/>
  </r>
  <r>
    <n v="38"/>
    <n v="9"/>
    <n v="16"/>
    <n v="2026"/>
    <s v="Peter Doe"/>
    <x v="1"/>
    <s v="Mouse"/>
    <x v="0"/>
    <n v="5"/>
    <n v="25"/>
    <n v="125"/>
    <x v="3"/>
    <s v="Alice"/>
    <s v="low"/>
  </r>
  <r>
    <n v="39"/>
    <n v="3"/>
    <n v="21"/>
    <n v="2026"/>
    <s v="Peter Doe"/>
    <x v="0"/>
    <s v="Laptop"/>
    <x v="0"/>
    <n v="6"/>
    <n v="1200"/>
    <n v="7200"/>
    <x v="2"/>
    <s v="Emeka"/>
    <s v="high"/>
  </r>
  <r>
    <n v="40"/>
    <n v="2"/>
    <n v="23"/>
    <n v="2026"/>
    <s v="Kofi Asare"/>
    <x v="2"/>
    <s v="Laptop"/>
    <x v="0"/>
    <n v="0"/>
    <n v="1200"/>
    <n v="0"/>
    <x v="4"/>
    <s v="Bob"/>
    <s v="low"/>
  </r>
  <r>
    <n v="41"/>
    <n v="1"/>
    <n v="10"/>
    <n v="2026"/>
    <s v="Sarah Ann"/>
    <x v="1"/>
    <s v="Chair"/>
    <x v="2"/>
    <n v="3"/>
    <n v="95"/>
    <n v="285"/>
    <x v="1"/>
    <s v="Alice"/>
    <s v="low"/>
  </r>
  <r>
    <n v="42"/>
    <n v="7"/>
    <n v="20"/>
    <n v="2026"/>
    <s v="Kofi Asare"/>
    <x v="0"/>
    <s v="Desk"/>
    <x v="2"/>
    <n v="9"/>
    <n v="180"/>
    <n v="1620"/>
    <x v="1"/>
    <s v="Bob"/>
    <s v="high"/>
  </r>
  <r>
    <n v="43"/>
    <n v="3"/>
    <n v="24"/>
    <n v="2026"/>
    <s v="Sarah Ann"/>
    <x v="0"/>
    <s v="Chair"/>
    <x v="2"/>
    <n v="1"/>
    <n v="95"/>
    <n v="95"/>
    <x v="1"/>
    <s v="Bob"/>
    <s v="low"/>
  </r>
  <r>
    <n v="44"/>
    <n v="12"/>
    <n v="4"/>
    <n v="2026"/>
    <s v="Linda King"/>
    <x v="1"/>
    <s v="Desk"/>
    <x v="2"/>
    <n v="3"/>
    <n v="180"/>
    <n v="540"/>
    <x v="1"/>
    <s v="Diana"/>
    <s v="high"/>
  </r>
  <r>
    <n v="45"/>
    <n v="4"/>
    <n v="8"/>
    <n v="2026"/>
    <s v="John Mensah"/>
    <x v="0"/>
    <s v="Desk"/>
    <x v="2"/>
    <n v="5"/>
    <n v="180"/>
    <n v="900"/>
    <x v="0"/>
    <s v="Charles"/>
    <s v="high"/>
  </r>
  <r>
    <n v="46"/>
    <n v="7"/>
    <n v="22"/>
    <n v="2026"/>
    <s v="Grace Agyeman"/>
    <x v="1"/>
    <s v="Desk"/>
    <x v="2"/>
    <n v="9"/>
    <n v="180"/>
    <n v="1620"/>
    <x v="3"/>
    <s v="Bob"/>
    <s v="high"/>
  </r>
  <r>
    <n v="47"/>
    <n v="1"/>
    <n v="4"/>
    <n v="2026"/>
    <s v="David Smith"/>
    <x v="0"/>
    <s v="Notebook"/>
    <x v="1"/>
    <n v="5"/>
    <n v="5"/>
    <n v="25"/>
    <x v="2"/>
    <s v="Emeka"/>
    <s v="low"/>
  </r>
  <r>
    <n v="48"/>
    <n v="7"/>
    <n v="19"/>
    <n v="2026"/>
    <s v="Ama Owusu"/>
    <x v="1"/>
    <s v="Notebook"/>
    <x v="1"/>
    <n v="0"/>
    <n v="5"/>
    <n v="0"/>
    <x v="4"/>
    <s v="Emeka"/>
    <s v="low"/>
  </r>
  <r>
    <n v="49"/>
    <n v="6"/>
    <n v="14"/>
    <n v="2026"/>
    <s v="Mary Boakye"/>
    <x v="1"/>
    <s v="Printer"/>
    <x v="0"/>
    <n v="4"/>
    <n v="250"/>
    <n v="1000"/>
    <x v="0"/>
    <s v="Charles"/>
    <s v="high"/>
  </r>
  <r>
    <n v="50"/>
    <n v="11"/>
    <n v="14"/>
    <n v="2026"/>
    <s v="Sarah Ann"/>
    <x v="0"/>
    <s v="Notebook"/>
    <x v="1"/>
    <n v="5"/>
    <n v="5"/>
    <n v="25"/>
    <x v="1"/>
    <s v="Diana"/>
    <s v="low"/>
  </r>
  <r>
    <n v="51"/>
    <n v="11"/>
    <n v="24"/>
    <n v="2026"/>
    <s v="John Mensah"/>
    <x v="2"/>
    <s v="Printer"/>
    <x v="0"/>
    <n v="7"/>
    <n v="250"/>
    <n v="1750"/>
    <x v="1"/>
    <s v="Alice"/>
    <s v="high"/>
  </r>
  <r>
    <n v="52"/>
    <n v="4"/>
    <n v="14"/>
    <n v="2026"/>
    <s v="David Smith"/>
    <x v="2"/>
    <s v="Desk"/>
    <x v="2"/>
    <n v="5"/>
    <n v="180"/>
    <n v="900"/>
    <x v="2"/>
    <s v="Bob"/>
    <s v="high"/>
  </r>
  <r>
    <n v="53"/>
    <n v="12"/>
    <n v="6"/>
    <n v="2026"/>
    <s v="Mary Boakye"/>
    <x v="1"/>
    <s v="Notebook"/>
    <x v="1"/>
    <n v="8"/>
    <n v="5"/>
    <n v="40"/>
    <x v="3"/>
    <s v="Alice"/>
    <s v="low"/>
  </r>
  <r>
    <n v="54"/>
    <n v="4"/>
    <n v="26"/>
    <n v="2026"/>
    <s v="Ama Owusu"/>
    <x v="0"/>
    <s v="Mouse"/>
    <x v="0"/>
    <n v="0"/>
    <n v="25"/>
    <n v="0"/>
    <x v="2"/>
    <s v="Emeka"/>
    <s v="low"/>
  </r>
  <r>
    <n v="55"/>
    <n v="7"/>
    <n v="21"/>
    <n v="2026"/>
    <s v="David Smith"/>
    <x v="0"/>
    <s v="Laptop"/>
    <x v="0"/>
    <n v="8"/>
    <n v="1200"/>
    <n v="9600"/>
    <x v="2"/>
    <s v="Bob"/>
    <s v="high"/>
  </r>
  <r>
    <n v="56"/>
    <n v="2"/>
    <n v="25"/>
    <n v="2026"/>
    <s v="Linda King"/>
    <x v="0"/>
    <s v="Mouse"/>
    <x v="0"/>
    <n v="1"/>
    <n v="25"/>
    <n v="25"/>
    <x v="4"/>
    <s v="Diana"/>
    <s v="low"/>
  </r>
  <r>
    <n v="57"/>
    <n v="4"/>
    <n v="28"/>
    <n v="2026"/>
    <s v="Mary Boakye"/>
    <x v="0"/>
    <s v="Laptop"/>
    <x v="0"/>
    <n v="9"/>
    <n v="1200"/>
    <n v="10800"/>
    <x v="4"/>
    <s v="Emeka"/>
    <s v="high"/>
  </r>
  <r>
    <n v="58"/>
    <n v="8"/>
    <n v="20"/>
    <n v="2026"/>
    <s v="Grace Agyeman"/>
    <x v="0"/>
    <s v="Notebook"/>
    <x v="1"/>
    <n v="6"/>
    <n v="5"/>
    <n v="30"/>
    <x v="1"/>
    <s v="Diana"/>
    <s v="low"/>
  </r>
  <r>
    <n v="59"/>
    <n v="4"/>
    <n v="27"/>
    <n v="2026"/>
    <s v="Peter Doe"/>
    <x v="2"/>
    <s v="Chair"/>
    <x v="2"/>
    <n v="5"/>
    <n v="95"/>
    <n v="475"/>
    <x v="2"/>
    <s v="Alice"/>
    <s v="low"/>
  </r>
  <r>
    <n v="60"/>
    <n v="4"/>
    <n v="9"/>
    <n v="2026"/>
    <s v="Sarah Ann"/>
    <x v="1"/>
    <s v="Printer"/>
    <x v="0"/>
    <n v="5"/>
    <n v="250"/>
    <n v="1250"/>
    <x v="1"/>
    <s v="Bob"/>
    <s v="high"/>
  </r>
  <r>
    <n v="61"/>
    <n v="12"/>
    <n v="7"/>
    <n v="2026"/>
    <s v="Mary Boakye"/>
    <x v="0"/>
    <s v="Chair"/>
    <x v="2"/>
    <n v="3"/>
    <n v="95"/>
    <n v="285"/>
    <x v="2"/>
    <s v="Alice"/>
    <s v="low"/>
  </r>
  <r>
    <n v="62"/>
    <n v="7"/>
    <n v="25"/>
    <n v="2026"/>
    <s v="David Smith"/>
    <x v="1"/>
    <s v="Mouse"/>
    <x v="0"/>
    <n v="7"/>
    <n v="25"/>
    <n v="175"/>
    <x v="2"/>
    <s v="Diana"/>
    <s v="low"/>
  </r>
  <r>
    <n v="63"/>
    <n v="5"/>
    <n v="25"/>
    <n v="2026"/>
    <s v="Linda King"/>
    <x v="0"/>
    <s v="Laptop"/>
    <x v="0"/>
    <n v="6"/>
    <n v="1200"/>
    <n v="7200"/>
    <x v="1"/>
    <s v="Emeka"/>
    <s v="high"/>
  </r>
  <r>
    <n v="64"/>
    <n v="4"/>
    <n v="9"/>
    <n v="2026"/>
    <s v="Linda King"/>
    <x v="0"/>
    <s v="Mouse"/>
    <x v="0"/>
    <n v="0"/>
    <n v="25"/>
    <n v="0"/>
    <x v="0"/>
    <s v="Diana"/>
    <s v="low"/>
  </r>
  <r>
    <n v="65"/>
    <n v="8"/>
    <n v="5"/>
    <n v="2026"/>
    <s v="David Smith"/>
    <x v="2"/>
    <s v="Printer"/>
    <x v="0"/>
    <n v="0"/>
    <n v="250"/>
    <n v="0"/>
    <x v="4"/>
    <s v="Alice"/>
    <s v="low"/>
  </r>
  <r>
    <n v="66"/>
    <n v="3"/>
    <n v="28"/>
    <n v="2026"/>
    <s v="James Cole"/>
    <x v="0"/>
    <s v="Laptop"/>
    <x v="0"/>
    <n v="7"/>
    <n v="1200"/>
    <n v="8400"/>
    <x v="1"/>
    <s v="Diana"/>
    <s v="high"/>
  </r>
  <r>
    <n v="67"/>
    <n v="7"/>
    <n v="9"/>
    <n v="2026"/>
    <s v="Linda King"/>
    <x v="1"/>
    <s v="Desk"/>
    <x v="2"/>
    <n v="6"/>
    <n v="180"/>
    <n v="1080"/>
    <x v="0"/>
    <s v="Emeka"/>
    <s v="high"/>
  </r>
  <r>
    <n v="68"/>
    <n v="4"/>
    <n v="21"/>
    <n v="2026"/>
    <s v="Mary Boakye"/>
    <x v="1"/>
    <s v="Laptop"/>
    <x v="0"/>
    <n v="6"/>
    <n v="1200"/>
    <n v="7200"/>
    <x v="1"/>
    <s v="Alice"/>
    <s v="high"/>
  </r>
  <r>
    <n v="69"/>
    <n v="4"/>
    <n v="5"/>
    <n v="2026"/>
    <s v="James Cole"/>
    <x v="1"/>
    <s v="Notebook"/>
    <x v="1"/>
    <n v="3"/>
    <n v="5"/>
    <n v="15"/>
    <x v="0"/>
    <s v="Charles"/>
    <s v="low"/>
  </r>
  <r>
    <n v="70"/>
    <n v="10"/>
    <n v="20"/>
    <n v="2026"/>
    <s v="Mary Boakye"/>
    <x v="0"/>
    <s v="Desk"/>
    <x v="2"/>
    <n v="3"/>
    <n v="180"/>
    <n v="540"/>
    <x v="0"/>
    <s v="Charles"/>
    <s v="high"/>
  </r>
  <r>
    <n v="71"/>
    <n v="7"/>
    <n v="23"/>
    <n v="2026"/>
    <s v="Ama Owusu"/>
    <x v="1"/>
    <s v="Notebook"/>
    <x v="1"/>
    <n v="7"/>
    <n v="5"/>
    <n v="35"/>
    <x v="5"/>
    <s v="Alice"/>
    <s v="low"/>
  </r>
  <r>
    <n v="72"/>
    <n v="11"/>
    <n v="20"/>
    <n v="2026"/>
    <s v="Mary Boakye"/>
    <x v="2"/>
    <s v="Printer"/>
    <x v="0"/>
    <n v="5"/>
    <n v="250"/>
    <n v="1250"/>
    <x v="2"/>
    <s v="Charles"/>
    <s v="high"/>
  </r>
  <r>
    <n v="73"/>
    <n v="11"/>
    <n v="11"/>
    <n v="2026"/>
    <s v="John Mensah"/>
    <x v="0"/>
    <s v="Laptop"/>
    <x v="0"/>
    <n v="9"/>
    <n v="1200"/>
    <n v="10800"/>
    <x v="3"/>
    <s v="Diana"/>
    <s v="high"/>
  </r>
  <r>
    <n v="74"/>
    <n v="7"/>
    <n v="6"/>
    <n v="2026"/>
    <s v="Grace Agyeman"/>
    <x v="1"/>
    <s v="Printer"/>
    <x v="0"/>
    <n v="3"/>
    <n v="250"/>
    <n v="750"/>
    <x v="1"/>
    <s v="Diana"/>
    <s v="high"/>
  </r>
  <r>
    <n v="75"/>
    <n v="12"/>
    <n v="19"/>
    <n v="2026"/>
    <s v="Peter Doe"/>
    <x v="1"/>
    <s v="Chair"/>
    <x v="2"/>
    <n v="7"/>
    <n v="95"/>
    <n v="665"/>
    <x v="0"/>
    <s v="Charles"/>
    <s v="high"/>
  </r>
  <r>
    <n v="76"/>
    <n v="8"/>
    <n v="19"/>
    <n v="2026"/>
    <s v="David Smith"/>
    <x v="0"/>
    <s v="Chair"/>
    <x v="2"/>
    <n v="4"/>
    <n v="95"/>
    <n v="380"/>
    <x v="3"/>
    <s v="Bob"/>
    <s v="low"/>
  </r>
  <r>
    <n v="77"/>
    <n v="6"/>
    <n v="26"/>
    <n v="2026"/>
    <s v="Peter Doe"/>
    <x v="1"/>
    <s v="Chair"/>
    <x v="2"/>
    <n v="4"/>
    <n v="95"/>
    <n v="380"/>
    <x v="3"/>
    <s v="Emeka"/>
    <s v="low"/>
  </r>
  <r>
    <n v="78"/>
    <n v="4"/>
    <n v="3"/>
    <n v="2026"/>
    <s v="Ama Owusu"/>
    <x v="0"/>
    <s v="Laptop"/>
    <x v="0"/>
    <n v="9"/>
    <n v="1200"/>
    <n v="10800"/>
    <x v="0"/>
    <s v="Diana"/>
    <s v="high"/>
  </r>
  <r>
    <n v="79"/>
    <n v="8"/>
    <n v="26"/>
    <n v="2026"/>
    <s v="John Mensah"/>
    <x v="1"/>
    <s v="Printer"/>
    <x v="0"/>
    <n v="8"/>
    <n v="250"/>
    <n v="2000"/>
    <x v="1"/>
    <s v="Charles"/>
    <s v="high"/>
  </r>
  <r>
    <n v="80"/>
    <n v="6"/>
    <n v="16"/>
    <n v="2026"/>
    <s v="Grace Agyeman"/>
    <x v="2"/>
    <s v="Printer"/>
    <x v="0"/>
    <n v="10"/>
    <n v="250"/>
    <n v="2500"/>
    <x v="4"/>
    <s v="Charles"/>
    <s v="high"/>
  </r>
  <r>
    <n v="81"/>
    <n v="3"/>
    <n v="15"/>
    <n v="2026"/>
    <s v="Peter Doe"/>
    <x v="0"/>
    <s v="Desk"/>
    <x v="2"/>
    <n v="8"/>
    <n v="180"/>
    <n v="1440"/>
    <x v="0"/>
    <s v="Emeka"/>
    <s v="high"/>
  </r>
  <r>
    <n v="82"/>
    <n v="4"/>
    <n v="7"/>
    <n v="2026"/>
    <s v="James Cole"/>
    <x v="1"/>
    <s v="Printer"/>
    <x v="0"/>
    <n v="3"/>
    <n v="250"/>
    <n v="750"/>
    <x v="4"/>
    <s v="Emeka"/>
    <s v="high"/>
  </r>
  <r>
    <n v="83"/>
    <n v="4"/>
    <n v="10"/>
    <n v="2026"/>
    <s v="Ama Owusu"/>
    <x v="1"/>
    <s v="Desk"/>
    <x v="2"/>
    <n v="2"/>
    <n v="0"/>
    <n v="0"/>
    <x v="4"/>
    <s v="Bob"/>
    <s v="low"/>
  </r>
  <r>
    <n v="84"/>
    <n v="1"/>
    <n v="18"/>
    <n v="2026"/>
    <s v="Peter Doe"/>
    <x v="0"/>
    <s v="Desk"/>
    <x v="2"/>
    <n v="1"/>
    <n v="180"/>
    <n v="180"/>
    <x v="0"/>
    <s v="Alice"/>
    <s v="low"/>
  </r>
  <r>
    <n v="85"/>
    <n v="8"/>
    <n v="16"/>
    <n v="2026"/>
    <s v="James Cole"/>
    <x v="1"/>
    <s v="Notebook"/>
    <x v="1"/>
    <n v="5"/>
    <n v="5"/>
    <n v="25"/>
    <x v="1"/>
    <s v="Diana"/>
    <s v="low"/>
  </r>
  <r>
    <n v="86"/>
    <n v="7"/>
    <n v="16"/>
    <n v="2026"/>
    <s v="Mary Boakye"/>
    <x v="2"/>
    <s v="Laptop"/>
    <x v="0"/>
    <n v="2"/>
    <n v="1200"/>
    <n v="2400"/>
    <x v="1"/>
    <s v="Emeka"/>
    <s v="high"/>
  </r>
  <r>
    <n v="87"/>
    <n v="4"/>
    <n v="4"/>
    <n v="2026"/>
    <s v="Grace Agyeman"/>
    <x v="0"/>
    <s v="Desk"/>
    <x v="2"/>
    <n v="2"/>
    <n v="180"/>
    <n v="360"/>
    <x v="1"/>
    <s v="Emeka"/>
    <s v="low"/>
  </r>
  <r>
    <n v="88"/>
    <n v="8"/>
    <n v="10"/>
    <n v="2026"/>
    <s v="David Smith"/>
    <x v="0"/>
    <s v="Chair"/>
    <x v="2"/>
    <n v="8"/>
    <n v="95"/>
    <n v="760"/>
    <x v="4"/>
    <s v="Alice"/>
    <s v="high"/>
  </r>
  <r>
    <n v="89"/>
    <n v="5"/>
    <n v="22"/>
    <n v="2026"/>
    <s v="Mary Boakye"/>
    <x v="0"/>
    <s v="Mouse"/>
    <x v="0"/>
    <n v="4"/>
    <n v="25"/>
    <n v="100"/>
    <x v="1"/>
    <s v="Alice"/>
    <s v="low"/>
  </r>
  <r>
    <n v="90"/>
    <n v="12"/>
    <n v="20"/>
    <n v="2026"/>
    <s v="James Cole"/>
    <x v="1"/>
    <s v="Chair"/>
    <x v="2"/>
    <n v="0"/>
    <n v="95"/>
    <n v="0"/>
    <x v="3"/>
    <s v="Diana"/>
    <s v="low"/>
  </r>
  <r>
    <n v="91"/>
    <n v="5"/>
    <n v="26"/>
    <n v="2026"/>
    <s v="David Smith"/>
    <x v="0"/>
    <s v="Laptop"/>
    <x v="0"/>
    <n v="4"/>
    <n v="1200"/>
    <n v="4800"/>
    <x v="0"/>
    <s v="Bob"/>
    <s v="high"/>
  </r>
  <r>
    <n v="92"/>
    <n v="2"/>
    <n v="2"/>
    <n v="2026"/>
    <s v="Kofi Asare"/>
    <x v="1"/>
    <s v="Desk"/>
    <x v="2"/>
    <n v="3"/>
    <n v="180"/>
    <n v="540"/>
    <x v="3"/>
    <s v="Diana"/>
    <s v="high"/>
  </r>
  <r>
    <n v="93"/>
    <n v="12"/>
    <n v="10"/>
    <n v="2026"/>
    <s v="Linda King"/>
    <x v="1"/>
    <s v="Laptop"/>
    <x v="0"/>
    <n v="8"/>
    <n v="1200"/>
    <n v="9600"/>
    <x v="0"/>
    <s v="Emeka"/>
    <s v="high"/>
  </r>
  <r>
    <n v="94"/>
    <n v="12"/>
    <n v="11"/>
    <n v="2026"/>
    <s v="David Smith"/>
    <x v="1"/>
    <s v="Laptop"/>
    <x v="0"/>
    <n v="0"/>
    <n v="1200"/>
    <n v="0"/>
    <x v="0"/>
    <s v="Emeka"/>
    <s v="low"/>
  </r>
  <r>
    <n v="95"/>
    <n v="11"/>
    <n v="27"/>
    <n v="2026"/>
    <s v="Peter Doe"/>
    <x v="2"/>
    <s v="Notebook"/>
    <x v="1"/>
    <n v="0"/>
    <n v="5"/>
    <n v="0"/>
    <x v="2"/>
    <s v="Emeka"/>
    <s v="low"/>
  </r>
  <r>
    <n v="96"/>
    <n v="5"/>
    <n v="6"/>
    <n v="2026"/>
    <s v="David Smith"/>
    <x v="0"/>
    <s v="Printer"/>
    <x v="0"/>
    <n v="8"/>
    <n v="250"/>
    <n v="2000"/>
    <x v="0"/>
    <s v="Diana"/>
    <s v="high"/>
  </r>
  <r>
    <n v="97"/>
    <n v="6"/>
    <n v="11"/>
    <n v="2026"/>
    <s v="Mary Boakye"/>
    <x v="0"/>
    <s v="Desk"/>
    <x v="2"/>
    <n v="7"/>
    <n v="180"/>
    <n v="1260"/>
    <x v="3"/>
    <s v="Diana"/>
    <s v="high"/>
  </r>
  <r>
    <n v="98"/>
    <n v="8"/>
    <n v="3"/>
    <n v="2026"/>
    <s v="Sarah Ann"/>
    <x v="1"/>
    <s v="Notebook"/>
    <x v="1"/>
    <n v="1"/>
    <n v="5"/>
    <n v="5"/>
    <x v="2"/>
    <s v="Emeka"/>
    <s v="low"/>
  </r>
  <r>
    <n v="99"/>
    <n v="8"/>
    <n v="14"/>
    <n v="2026"/>
    <s v="John Mensah"/>
    <x v="0"/>
    <s v="Laptop"/>
    <x v="0"/>
    <n v="9"/>
    <n v="1200"/>
    <n v="10800"/>
    <x v="2"/>
    <s v="Diana"/>
    <s v="high"/>
  </r>
  <r>
    <n v="100"/>
    <n v="5"/>
    <n v="18"/>
    <n v="2026"/>
    <s v="Kofi Asare"/>
    <x v="1"/>
    <s v="Laptop"/>
    <x v="0"/>
    <n v="4"/>
    <n v="1200"/>
    <n v="4800"/>
    <x v="0"/>
    <s v="Alice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 rowHeaderCaption="Category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0" baseField="0" baseItem="0"/>
  </dataField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ity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0" baseField="0" baseItem="0"/>
  </dataFields>
  <chartFormats count="7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Gender">
  <location ref="A3:B7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0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 unboundColumnsRight="1">
    <queryTableFields count="14">
      <queryTableField id="1" name="OrderID" tableColumnId="27"/>
      <queryTableField id="2" name="OrderMonth" tableColumnId="28"/>
      <queryTableField id="3" name="OrderDay" tableColumnId="29"/>
      <queryTableField id="4" name="OrderYear" tableColumnId="30"/>
      <queryTableField id="5" name="CustomerName" tableColumnId="31"/>
      <queryTableField id="6" name="Gender" tableColumnId="32"/>
      <queryTableField id="7" name="Product" tableColumnId="33"/>
      <queryTableField id="8" name="Category" tableColumnId="34"/>
      <queryTableField id="9" name="Quantity" tableColumnId="35"/>
      <queryTableField id="10" name="UnitPrice" tableColumnId="36"/>
      <queryTableField id="11" name="Total Sales" tableColumnId="37"/>
      <queryTableField id="12" name="City" tableColumnId="38"/>
      <queryTableField id="13" name="Salesperson" tableColumnId="39"/>
      <queryTableField id="14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n" displayName="in" ref="A1:N100" tableType="queryTable" totalsRowShown="0">
  <autoFilter ref="A1:N100"/>
  <tableColumns count="14">
    <tableColumn id="27" uniqueName="27" name="OrderID" queryTableFieldId="1" dataDxfId="13"/>
    <tableColumn id="28" uniqueName="28" name="OrderMonth" queryTableFieldId="2" dataDxfId="12"/>
    <tableColumn id="29" uniqueName="29" name="OrderDay" queryTableFieldId="3" dataDxfId="11"/>
    <tableColumn id="30" uniqueName="30" name="OrderYear" queryTableFieldId="4" dataDxfId="10"/>
    <tableColumn id="31" uniqueName="31" name="CustomerName" queryTableFieldId="5" dataDxfId="9"/>
    <tableColumn id="32" uniqueName="32" name="Gender" queryTableFieldId="6" dataDxfId="8"/>
    <tableColumn id="33" uniqueName="33" name="Product" queryTableFieldId="7" dataDxfId="7"/>
    <tableColumn id="34" uniqueName="34" name="Category" queryTableFieldId="8" dataDxfId="6"/>
    <tableColumn id="35" uniqueName="35" name="Quantity" queryTableFieldId="9" dataDxfId="5"/>
    <tableColumn id="36" uniqueName="36" name="UnitPrice" queryTableFieldId="10" dataDxfId="4"/>
    <tableColumn id="37" uniqueName="37" name="Total Sales" queryTableFieldId="11" dataDxfId="3"/>
    <tableColumn id="38" uniqueName="38" name="City" queryTableFieldId="12" dataDxfId="2"/>
    <tableColumn id="39" uniqueName="39" name="Salesperson" queryTableFieldId="13" dataDxfId="1"/>
    <tableColumn id="1" uniqueName="1" name="Performance" queryTableFieldId="14" dataDxfId="0">
      <calculatedColumnFormula>IF(K2&gt;=500,"high","low")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abSelected="1" topLeftCell="A85" workbookViewId="0">
      <selection activeCell="J107" sqref="J107"/>
    </sheetView>
  </sheetViews>
  <sheetFormatPr defaultRowHeight="15" x14ac:dyDescent="0.25"/>
  <cols>
    <col min="1" max="1" width="10.28515625" bestFit="1" customWidth="1"/>
    <col min="2" max="2" width="14.42578125" bestFit="1" customWidth="1"/>
    <col min="3" max="3" width="11.7109375" bestFit="1" customWidth="1"/>
    <col min="4" max="4" width="12.42578125" bestFit="1" customWidth="1"/>
    <col min="5" max="5" width="17.28515625" bestFit="1" customWidth="1"/>
    <col min="6" max="6" width="10" bestFit="1" customWidth="1"/>
    <col min="7" max="7" width="10.140625" bestFit="1" customWidth="1"/>
    <col min="8" max="8" width="11.140625" bestFit="1" customWidth="1"/>
    <col min="9" max="9" width="11" bestFit="1" customWidth="1"/>
    <col min="10" max="10" width="24.42578125" customWidth="1"/>
    <col min="11" max="11" width="12.7109375" bestFit="1" customWidth="1"/>
    <col min="12" max="12" width="9.42578125" bestFit="1" customWidth="1"/>
    <col min="13" max="13" width="14" bestFit="1" customWidth="1"/>
    <col min="14" max="14" width="14" customWidth="1"/>
  </cols>
  <sheetData>
    <row r="1" spans="1:14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42</v>
      </c>
      <c r="L1" s="1" t="s">
        <v>7</v>
      </c>
      <c r="M1" s="1" t="s">
        <v>8</v>
      </c>
      <c r="N1" s="1" t="s">
        <v>45</v>
      </c>
    </row>
    <row r="2" spans="1:14" x14ac:dyDescent="0.25">
      <c r="A2" s="1">
        <v>1</v>
      </c>
      <c r="B2" s="1">
        <v>1</v>
      </c>
      <c r="C2" s="1">
        <v>24</v>
      </c>
      <c r="D2" s="1">
        <v>2026</v>
      </c>
      <c r="E2" s="1" t="s">
        <v>9</v>
      </c>
      <c r="F2" s="1" t="s">
        <v>10</v>
      </c>
      <c r="G2" s="1" t="s">
        <v>11</v>
      </c>
      <c r="H2" s="1" t="s">
        <v>12</v>
      </c>
      <c r="I2" s="1">
        <v>2</v>
      </c>
      <c r="J2" s="1">
        <v>250</v>
      </c>
      <c r="K2" s="1">
        <v>500</v>
      </c>
      <c r="L2" s="1" t="s">
        <v>17</v>
      </c>
      <c r="M2" s="1" t="s">
        <v>13</v>
      </c>
      <c r="N2" s="1" t="str">
        <f t="shared" ref="N2:N33" si="0">IF(K2&gt;=500,"high","low")</f>
        <v>high</v>
      </c>
    </row>
    <row r="3" spans="1:14" x14ac:dyDescent="0.25">
      <c r="A3" s="1">
        <v>2</v>
      </c>
      <c r="B3" s="1">
        <v>7</v>
      </c>
      <c r="C3" s="1">
        <v>2</v>
      </c>
      <c r="D3" s="1">
        <v>2026</v>
      </c>
      <c r="E3" s="1" t="s">
        <v>14</v>
      </c>
      <c r="F3" s="1" t="s">
        <v>15</v>
      </c>
      <c r="G3" s="1" t="s">
        <v>16</v>
      </c>
      <c r="H3" s="1" t="s">
        <v>12</v>
      </c>
      <c r="I3" s="1">
        <v>10</v>
      </c>
      <c r="J3" s="1">
        <v>1200</v>
      </c>
      <c r="K3" s="1">
        <v>12000</v>
      </c>
      <c r="L3" s="1" t="s">
        <v>17</v>
      </c>
      <c r="M3" s="1" t="s">
        <v>13</v>
      </c>
      <c r="N3" s="1" t="str">
        <f t="shared" si="0"/>
        <v>high</v>
      </c>
    </row>
    <row r="4" spans="1:14" x14ac:dyDescent="0.25">
      <c r="A4" s="1">
        <v>3</v>
      </c>
      <c r="B4" s="1">
        <v>7</v>
      </c>
      <c r="C4" s="1">
        <v>8</v>
      </c>
      <c r="D4" s="1">
        <v>2026</v>
      </c>
      <c r="E4" s="1" t="s">
        <v>18</v>
      </c>
      <c r="F4" s="1" t="s">
        <v>43</v>
      </c>
      <c r="G4" s="1" t="s">
        <v>19</v>
      </c>
      <c r="H4" s="1" t="s">
        <v>12</v>
      </c>
      <c r="I4" s="1">
        <v>9</v>
      </c>
      <c r="J4" s="1">
        <v>25</v>
      </c>
      <c r="K4" s="1">
        <v>225</v>
      </c>
      <c r="L4" s="1" t="s">
        <v>36</v>
      </c>
      <c r="M4" s="1" t="s">
        <v>20</v>
      </c>
      <c r="N4" s="1" t="str">
        <f t="shared" si="0"/>
        <v>low</v>
      </c>
    </row>
    <row r="5" spans="1:14" x14ac:dyDescent="0.25">
      <c r="A5" s="1">
        <v>4</v>
      </c>
      <c r="B5" s="1">
        <v>6</v>
      </c>
      <c r="C5" s="1">
        <v>9</v>
      </c>
      <c r="D5" s="1">
        <v>2026</v>
      </c>
      <c r="E5" s="1" t="s">
        <v>21</v>
      </c>
      <c r="F5" s="1" t="s">
        <v>10</v>
      </c>
      <c r="G5" s="1" t="s">
        <v>11</v>
      </c>
      <c r="H5" s="1" t="s">
        <v>12</v>
      </c>
      <c r="I5" s="1">
        <v>7</v>
      </c>
      <c r="J5" s="1">
        <v>250</v>
      </c>
      <c r="K5" s="1">
        <v>1750</v>
      </c>
      <c r="L5" s="1" t="s">
        <v>17</v>
      </c>
      <c r="M5" s="1" t="s">
        <v>22</v>
      </c>
      <c r="N5" s="1" t="str">
        <f t="shared" si="0"/>
        <v>high</v>
      </c>
    </row>
    <row r="6" spans="1:14" x14ac:dyDescent="0.25">
      <c r="A6" s="1">
        <v>5</v>
      </c>
      <c r="B6" s="1">
        <v>6</v>
      </c>
      <c r="C6" s="1">
        <v>20</v>
      </c>
      <c r="D6" s="1">
        <v>2026</v>
      </c>
      <c r="E6" s="1" t="s">
        <v>9</v>
      </c>
      <c r="F6" s="1" t="s">
        <v>15</v>
      </c>
      <c r="G6" s="1" t="s">
        <v>16</v>
      </c>
      <c r="H6" s="1" t="s">
        <v>12</v>
      </c>
      <c r="I6" s="1">
        <v>6</v>
      </c>
      <c r="J6" s="1">
        <v>1200</v>
      </c>
      <c r="K6" s="1">
        <v>7200</v>
      </c>
      <c r="L6" s="1" t="s">
        <v>23</v>
      </c>
      <c r="M6" s="1" t="s">
        <v>24</v>
      </c>
      <c r="N6" s="1" t="str">
        <f t="shared" si="0"/>
        <v>high</v>
      </c>
    </row>
    <row r="7" spans="1:14" x14ac:dyDescent="0.25">
      <c r="A7" s="1">
        <v>6</v>
      </c>
      <c r="B7" s="1">
        <v>11</v>
      </c>
      <c r="C7" s="1">
        <v>20</v>
      </c>
      <c r="D7" s="1">
        <v>2026</v>
      </c>
      <c r="E7" s="1" t="s">
        <v>25</v>
      </c>
      <c r="F7" s="1" t="s">
        <v>43</v>
      </c>
      <c r="G7" s="1" t="s">
        <v>26</v>
      </c>
      <c r="H7" s="1" t="s">
        <v>27</v>
      </c>
      <c r="I7" s="1">
        <v>5</v>
      </c>
      <c r="J7" s="1">
        <v>5</v>
      </c>
      <c r="K7" s="1">
        <v>25</v>
      </c>
      <c r="L7" s="1" t="s">
        <v>17</v>
      </c>
      <c r="M7" s="1" t="s">
        <v>20</v>
      </c>
      <c r="N7" s="1" t="str">
        <f t="shared" si="0"/>
        <v>low</v>
      </c>
    </row>
    <row r="8" spans="1:14" x14ac:dyDescent="0.25">
      <c r="A8" s="1">
        <v>7</v>
      </c>
      <c r="B8" s="1">
        <v>4</v>
      </c>
      <c r="C8" s="1">
        <v>28</v>
      </c>
      <c r="D8" s="1">
        <v>2026</v>
      </c>
      <c r="E8" s="1" t="s">
        <v>44</v>
      </c>
      <c r="F8" s="1" t="s">
        <v>10</v>
      </c>
      <c r="G8" s="1" t="s">
        <v>28</v>
      </c>
      <c r="H8" s="1" t="s">
        <v>29</v>
      </c>
      <c r="I8" s="1">
        <v>2</v>
      </c>
      <c r="J8" s="1">
        <v>180</v>
      </c>
      <c r="K8" s="1">
        <v>360</v>
      </c>
      <c r="L8" s="1" t="s">
        <v>30</v>
      </c>
      <c r="M8" s="1" t="s">
        <v>20</v>
      </c>
      <c r="N8" s="1" t="str">
        <f t="shared" si="0"/>
        <v>low</v>
      </c>
    </row>
    <row r="9" spans="1:14" x14ac:dyDescent="0.25">
      <c r="A9" s="1">
        <v>8</v>
      </c>
      <c r="B9" s="1">
        <v>4</v>
      </c>
      <c r="C9" s="1">
        <v>22</v>
      </c>
      <c r="D9" s="1">
        <v>2026</v>
      </c>
      <c r="E9" s="1" t="s">
        <v>9</v>
      </c>
      <c r="F9" s="1" t="s">
        <v>15</v>
      </c>
      <c r="G9" s="1" t="s">
        <v>28</v>
      </c>
      <c r="H9" s="1" t="s">
        <v>29</v>
      </c>
      <c r="I9" s="1">
        <v>6</v>
      </c>
      <c r="J9" s="1">
        <v>180</v>
      </c>
      <c r="K9" s="1">
        <v>1080</v>
      </c>
      <c r="L9" s="1" t="s">
        <v>17</v>
      </c>
      <c r="M9" s="1" t="s">
        <v>20</v>
      </c>
      <c r="N9" s="1" t="str">
        <f t="shared" si="0"/>
        <v>high</v>
      </c>
    </row>
    <row r="10" spans="1:14" x14ac:dyDescent="0.25">
      <c r="A10" s="1">
        <v>9</v>
      </c>
      <c r="B10" s="1">
        <v>7</v>
      </c>
      <c r="C10" s="1">
        <v>9</v>
      </c>
      <c r="D10" s="1">
        <v>2026</v>
      </c>
      <c r="E10" s="1" t="s">
        <v>31</v>
      </c>
      <c r="F10" s="1" t="s">
        <v>10</v>
      </c>
      <c r="G10" s="1" t="s">
        <v>19</v>
      </c>
      <c r="H10" s="1" t="s">
        <v>12</v>
      </c>
      <c r="I10" s="1">
        <v>8</v>
      </c>
      <c r="J10" s="1">
        <v>25</v>
      </c>
      <c r="K10" s="1">
        <v>200</v>
      </c>
      <c r="L10" s="1" t="s">
        <v>36</v>
      </c>
      <c r="M10" s="1" t="s">
        <v>24</v>
      </c>
      <c r="N10" s="1" t="str">
        <f t="shared" si="0"/>
        <v>low</v>
      </c>
    </row>
    <row r="11" spans="1:14" x14ac:dyDescent="0.25">
      <c r="A11" s="1">
        <v>10</v>
      </c>
      <c r="B11" s="1">
        <v>6</v>
      </c>
      <c r="C11" s="1">
        <v>13</v>
      </c>
      <c r="D11" s="1">
        <v>2026</v>
      </c>
      <c r="E11" s="1" t="s">
        <v>9</v>
      </c>
      <c r="F11" s="1" t="s">
        <v>15</v>
      </c>
      <c r="G11" s="1" t="s">
        <v>19</v>
      </c>
      <c r="H11" s="1" t="s">
        <v>12</v>
      </c>
      <c r="I11" s="1">
        <v>1</v>
      </c>
      <c r="J11" s="1">
        <v>25</v>
      </c>
      <c r="K11" s="1">
        <v>25</v>
      </c>
      <c r="L11" s="1" t="s">
        <v>17</v>
      </c>
      <c r="M11" s="1" t="s">
        <v>32</v>
      </c>
      <c r="N11" s="1" t="str">
        <f t="shared" si="0"/>
        <v>low</v>
      </c>
    </row>
    <row r="12" spans="1:14" x14ac:dyDescent="0.25">
      <c r="A12" s="1">
        <v>12</v>
      </c>
      <c r="B12" s="1">
        <v>7</v>
      </c>
      <c r="C12" s="1">
        <v>19</v>
      </c>
      <c r="D12" s="1">
        <v>2026</v>
      </c>
      <c r="E12" s="1" t="s">
        <v>33</v>
      </c>
      <c r="F12" s="1" t="s">
        <v>15</v>
      </c>
      <c r="G12" s="1" t="s">
        <v>28</v>
      </c>
      <c r="H12" s="1" t="s">
        <v>29</v>
      </c>
      <c r="I12" s="1">
        <v>10</v>
      </c>
      <c r="J12" s="1">
        <v>180</v>
      </c>
      <c r="K12" s="1">
        <v>1800</v>
      </c>
      <c r="L12" s="1" t="s">
        <v>34</v>
      </c>
      <c r="M12" s="1" t="s">
        <v>22</v>
      </c>
      <c r="N12" s="1" t="str">
        <f t="shared" si="0"/>
        <v>high</v>
      </c>
    </row>
    <row r="13" spans="1:14" x14ac:dyDescent="0.25">
      <c r="A13" s="1">
        <v>13</v>
      </c>
      <c r="B13" s="1">
        <v>2</v>
      </c>
      <c r="C13" s="1">
        <v>5</v>
      </c>
      <c r="D13" s="1">
        <v>2026</v>
      </c>
      <c r="E13" s="1" t="s">
        <v>21</v>
      </c>
      <c r="F13" s="1" t="s">
        <v>10</v>
      </c>
      <c r="G13" s="1" t="s">
        <v>16</v>
      </c>
      <c r="H13" s="1" t="s">
        <v>12</v>
      </c>
      <c r="I13" s="1">
        <v>1</v>
      </c>
      <c r="J13" s="1">
        <v>1200</v>
      </c>
      <c r="K13" s="1">
        <v>1200</v>
      </c>
      <c r="L13" s="1" t="s">
        <v>34</v>
      </c>
      <c r="M13" s="1" t="s">
        <v>22</v>
      </c>
      <c r="N13" s="1" t="str">
        <f t="shared" si="0"/>
        <v>high</v>
      </c>
    </row>
    <row r="14" spans="1:14" x14ac:dyDescent="0.25">
      <c r="A14" s="1">
        <v>14</v>
      </c>
      <c r="B14" s="1">
        <v>9</v>
      </c>
      <c r="C14" s="1">
        <v>28</v>
      </c>
      <c r="D14" s="1">
        <v>2026</v>
      </c>
      <c r="E14" s="1" t="s">
        <v>14</v>
      </c>
      <c r="F14" s="1" t="s">
        <v>15</v>
      </c>
      <c r="G14" s="1" t="s">
        <v>26</v>
      </c>
      <c r="H14" s="1" t="s">
        <v>27</v>
      </c>
      <c r="I14" s="1">
        <v>5</v>
      </c>
      <c r="J14" s="1">
        <v>5</v>
      </c>
      <c r="K14" s="1">
        <v>25</v>
      </c>
      <c r="L14" s="1" t="s">
        <v>30</v>
      </c>
      <c r="M14" s="1" t="s">
        <v>32</v>
      </c>
      <c r="N14" s="1" t="str">
        <f t="shared" si="0"/>
        <v>low</v>
      </c>
    </row>
    <row r="15" spans="1:14" x14ac:dyDescent="0.25">
      <c r="A15" s="1">
        <v>15</v>
      </c>
      <c r="B15" s="1">
        <v>7</v>
      </c>
      <c r="C15" s="1">
        <v>6</v>
      </c>
      <c r="D15" s="1">
        <v>2026</v>
      </c>
      <c r="E15" s="1" t="s">
        <v>18</v>
      </c>
      <c r="F15" s="1" t="s">
        <v>15</v>
      </c>
      <c r="G15" s="1" t="s">
        <v>16</v>
      </c>
      <c r="H15" s="1" t="s">
        <v>12</v>
      </c>
      <c r="I15" s="1">
        <v>5</v>
      </c>
      <c r="J15" s="1">
        <v>1200</v>
      </c>
      <c r="K15" s="1">
        <v>6000</v>
      </c>
      <c r="L15" s="1" t="s">
        <v>30</v>
      </c>
      <c r="M15" s="1" t="s">
        <v>13</v>
      </c>
      <c r="N15" s="1" t="str">
        <f t="shared" si="0"/>
        <v>high</v>
      </c>
    </row>
    <row r="16" spans="1:14" x14ac:dyDescent="0.25">
      <c r="A16" s="1">
        <v>16</v>
      </c>
      <c r="B16" s="1">
        <v>2</v>
      </c>
      <c r="C16" s="1">
        <v>28</v>
      </c>
      <c r="D16" s="1">
        <v>2026</v>
      </c>
      <c r="E16" s="1" t="s">
        <v>9</v>
      </c>
      <c r="F16" s="1" t="s">
        <v>43</v>
      </c>
      <c r="G16" s="1" t="s">
        <v>19</v>
      </c>
      <c r="H16" s="1" t="s">
        <v>12</v>
      </c>
      <c r="I16" s="1">
        <v>9</v>
      </c>
      <c r="J16" s="1">
        <v>25</v>
      </c>
      <c r="K16" s="1">
        <v>225</v>
      </c>
      <c r="L16" s="1" t="s">
        <v>36</v>
      </c>
      <c r="M16" s="1" t="s">
        <v>20</v>
      </c>
      <c r="N16" s="1" t="str">
        <f t="shared" si="0"/>
        <v>low</v>
      </c>
    </row>
    <row r="17" spans="1:14" x14ac:dyDescent="0.25">
      <c r="A17" s="1">
        <v>17</v>
      </c>
      <c r="B17" s="1">
        <v>1</v>
      </c>
      <c r="C17" s="1">
        <v>20</v>
      </c>
      <c r="D17" s="1">
        <v>2026</v>
      </c>
      <c r="E17" s="1" t="s">
        <v>25</v>
      </c>
      <c r="F17" s="1" t="s">
        <v>10</v>
      </c>
      <c r="G17" s="1" t="s">
        <v>26</v>
      </c>
      <c r="H17" s="1" t="s">
        <v>27</v>
      </c>
      <c r="I17" s="1">
        <v>0</v>
      </c>
      <c r="J17" s="1">
        <v>5</v>
      </c>
      <c r="K17" s="1">
        <v>0</v>
      </c>
      <c r="L17" s="1" t="s">
        <v>36</v>
      </c>
      <c r="M17" s="1" t="s">
        <v>32</v>
      </c>
      <c r="N17" s="1" t="str">
        <f t="shared" si="0"/>
        <v>low</v>
      </c>
    </row>
    <row r="18" spans="1:14" x14ac:dyDescent="0.25">
      <c r="A18" s="1">
        <v>18</v>
      </c>
      <c r="B18" s="1">
        <v>4</v>
      </c>
      <c r="C18" s="1">
        <v>19</v>
      </c>
      <c r="D18" s="1">
        <v>2026</v>
      </c>
      <c r="E18" s="1" t="s">
        <v>44</v>
      </c>
      <c r="F18" s="1" t="s">
        <v>15</v>
      </c>
      <c r="G18" s="1" t="s">
        <v>19</v>
      </c>
      <c r="H18" s="1" t="s">
        <v>12</v>
      </c>
      <c r="I18" s="1">
        <v>1</v>
      </c>
      <c r="J18" s="1">
        <v>25</v>
      </c>
      <c r="K18" s="1">
        <v>25</v>
      </c>
      <c r="L18" s="1" t="s">
        <v>36</v>
      </c>
      <c r="M18" s="1" t="s">
        <v>13</v>
      </c>
      <c r="N18" s="1" t="str">
        <f t="shared" si="0"/>
        <v>low</v>
      </c>
    </row>
    <row r="19" spans="1:14" x14ac:dyDescent="0.25">
      <c r="A19" s="1">
        <v>19</v>
      </c>
      <c r="B19" s="1">
        <v>11</v>
      </c>
      <c r="C19" s="1">
        <v>16</v>
      </c>
      <c r="D19" s="1">
        <v>2026</v>
      </c>
      <c r="E19" s="1" t="s">
        <v>31</v>
      </c>
      <c r="F19" s="1" t="s">
        <v>10</v>
      </c>
      <c r="G19" s="1" t="s">
        <v>19</v>
      </c>
      <c r="H19" s="1" t="s">
        <v>12</v>
      </c>
      <c r="I19" s="1">
        <v>3</v>
      </c>
      <c r="J19" s="1">
        <v>25</v>
      </c>
      <c r="K19" s="1">
        <v>75</v>
      </c>
      <c r="L19" s="1" t="s">
        <v>23</v>
      </c>
      <c r="M19" s="1" t="s">
        <v>20</v>
      </c>
      <c r="N19" s="1" t="str">
        <f t="shared" si="0"/>
        <v>low</v>
      </c>
    </row>
    <row r="20" spans="1:14" x14ac:dyDescent="0.25">
      <c r="A20" s="1">
        <v>20</v>
      </c>
      <c r="B20" s="1">
        <v>12</v>
      </c>
      <c r="C20" s="1">
        <v>10</v>
      </c>
      <c r="D20" s="1">
        <v>2026</v>
      </c>
      <c r="E20" s="1" t="s">
        <v>33</v>
      </c>
      <c r="F20" s="1" t="s">
        <v>15</v>
      </c>
      <c r="G20" s="1" t="s">
        <v>26</v>
      </c>
      <c r="H20" s="1" t="s">
        <v>27</v>
      </c>
      <c r="I20" s="1">
        <v>4</v>
      </c>
      <c r="J20" s="1">
        <v>5</v>
      </c>
      <c r="K20" s="1">
        <v>20</v>
      </c>
      <c r="L20" s="1" t="s">
        <v>17</v>
      </c>
      <c r="M20" s="1" t="s">
        <v>20</v>
      </c>
      <c r="N20" s="1" t="str">
        <f t="shared" si="0"/>
        <v>low</v>
      </c>
    </row>
    <row r="21" spans="1:14" x14ac:dyDescent="0.25">
      <c r="A21" s="1">
        <v>21</v>
      </c>
      <c r="B21" s="1">
        <v>6</v>
      </c>
      <c r="C21" s="1">
        <v>1</v>
      </c>
      <c r="D21" s="1">
        <v>2026</v>
      </c>
      <c r="E21" s="1" t="s">
        <v>35</v>
      </c>
      <c r="F21" s="1" t="s">
        <v>43</v>
      </c>
      <c r="G21" s="1" t="s">
        <v>19</v>
      </c>
      <c r="H21" s="1" t="s">
        <v>12</v>
      </c>
      <c r="I21" s="1">
        <v>2</v>
      </c>
      <c r="J21" s="1">
        <v>25</v>
      </c>
      <c r="K21" s="1">
        <v>50</v>
      </c>
      <c r="L21" s="1" t="s">
        <v>17</v>
      </c>
      <c r="M21" s="1" t="s">
        <v>24</v>
      </c>
      <c r="N21" s="1" t="str">
        <f t="shared" si="0"/>
        <v>low</v>
      </c>
    </row>
    <row r="22" spans="1:14" x14ac:dyDescent="0.25">
      <c r="A22" s="1">
        <v>22</v>
      </c>
      <c r="B22" s="1">
        <v>1</v>
      </c>
      <c r="C22" s="1">
        <v>28</v>
      </c>
      <c r="D22" s="1">
        <v>2026</v>
      </c>
      <c r="E22" s="1" t="s">
        <v>25</v>
      </c>
      <c r="F22" s="1" t="s">
        <v>15</v>
      </c>
      <c r="G22" s="1" t="s">
        <v>19</v>
      </c>
      <c r="H22" s="1" t="s">
        <v>12</v>
      </c>
      <c r="I22" s="1">
        <v>2</v>
      </c>
      <c r="J22" s="1">
        <v>25</v>
      </c>
      <c r="K22" s="1">
        <v>50</v>
      </c>
      <c r="L22" s="1" t="s">
        <v>23</v>
      </c>
      <c r="M22" s="1" t="s">
        <v>20</v>
      </c>
      <c r="N22" s="1" t="str">
        <f t="shared" si="0"/>
        <v>low</v>
      </c>
    </row>
    <row r="23" spans="1:14" x14ac:dyDescent="0.25">
      <c r="A23" s="1">
        <v>23</v>
      </c>
      <c r="B23" s="1">
        <v>12</v>
      </c>
      <c r="C23" s="1">
        <v>19</v>
      </c>
      <c r="D23" s="1">
        <v>2026</v>
      </c>
      <c r="E23" s="1" t="s">
        <v>35</v>
      </c>
      <c r="F23" s="1" t="s">
        <v>10</v>
      </c>
      <c r="G23" s="1" t="s">
        <v>26</v>
      </c>
      <c r="H23" s="1" t="s">
        <v>27</v>
      </c>
      <c r="I23" s="1">
        <v>3</v>
      </c>
      <c r="J23" s="1">
        <v>5</v>
      </c>
      <c r="K23" s="1">
        <v>15</v>
      </c>
      <c r="L23" s="1" t="s">
        <v>23</v>
      </c>
      <c r="M23" s="1" t="s">
        <v>20</v>
      </c>
      <c r="N23" s="1" t="str">
        <f t="shared" si="0"/>
        <v>low</v>
      </c>
    </row>
    <row r="24" spans="1:14" x14ac:dyDescent="0.25">
      <c r="A24" s="1">
        <v>24</v>
      </c>
      <c r="B24" s="1">
        <v>11</v>
      </c>
      <c r="C24" s="1">
        <v>14</v>
      </c>
      <c r="D24" s="1">
        <v>2026</v>
      </c>
      <c r="E24" s="1" t="s">
        <v>25</v>
      </c>
      <c r="F24" s="1" t="s">
        <v>10</v>
      </c>
      <c r="G24" s="1" t="s">
        <v>16</v>
      </c>
      <c r="H24" s="1" t="s">
        <v>12</v>
      </c>
      <c r="I24" s="1">
        <v>2</v>
      </c>
      <c r="J24" s="1">
        <v>1200</v>
      </c>
      <c r="K24" s="1">
        <v>2400</v>
      </c>
      <c r="L24" s="1" t="s">
        <v>17</v>
      </c>
      <c r="M24" s="1" t="s">
        <v>24</v>
      </c>
      <c r="N24" s="1" t="str">
        <f t="shared" si="0"/>
        <v>high</v>
      </c>
    </row>
    <row r="25" spans="1:14" x14ac:dyDescent="0.25">
      <c r="A25" s="1">
        <v>25</v>
      </c>
      <c r="B25" s="1">
        <v>12</v>
      </c>
      <c r="C25" s="1">
        <v>11</v>
      </c>
      <c r="D25" s="1">
        <v>2026</v>
      </c>
      <c r="E25" s="1" t="s">
        <v>44</v>
      </c>
      <c r="F25" s="1" t="s">
        <v>10</v>
      </c>
      <c r="G25" s="1" t="s">
        <v>16</v>
      </c>
      <c r="H25" s="1" t="s">
        <v>12</v>
      </c>
      <c r="I25" s="1">
        <v>7</v>
      </c>
      <c r="J25" s="1">
        <v>1200</v>
      </c>
      <c r="K25" s="1">
        <v>8400</v>
      </c>
      <c r="L25" s="1" t="s">
        <v>36</v>
      </c>
      <c r="M25" s="1" t="s">
        <v>22</v>
      </c>
      <c r="N25" s="1" t="str">
        <f t="shared" si="0"/>
        <v>high</v>
      </c>
    </row>
    <row r="26" spans="1:14" x14ac:dyDescent="0.25">
      <c r="A26" s="1">
        <v>26</v>
      </c>
      <c r="B26" s="1">
        <v>8</v>
      </c>
      <c r="C26" s="1">
        <v>8</v>
      </c>
      <c r="D26" s="1">
        <v>2026</v>
      </c>
      <c r="E26" s="1" t="s">
        <v>44</v>
      </c>
      <c r="F26" s="1" t="s">
        <v>10</v>
      </c>
      <c r="G26" s="1" t="s">
        <v>19</v>
      </c>
      <c r="H26" s="1" t="s">
        <v>12</v>
      </c>
      <c r="I26" s="1">
        <v>5</v>
      </c>
      <c r="J26" s="1">
        <v>25</v>
      </c>
      <c r="K26" s="1">
        <v>125</v>
      </c>
      <c r="L26" s="1" t="s">
        <v>17</v>
      </c>
      <c r="M26" s="1" t="s">
        <v>24</v>
      </c>
      <c r="N26" s="1" t="str">
        <f t="shared" si="0"/>
        <v>low</v>
      </c>
    </row>
    <row r="27" spans="1:14" x14ac:dyDescent="0.25">
      <c r="A27" s="1">
        <v>27</v>
      </c>
      <c r="B27" s="1">
        <v>1</v>
      </c>
      <c r="C27" s="1">
        <v>3</v>
      </c>
      <c r="D27" s="1">
        <v>2026</v>
      </c>
      <c r="E27" s="1" t="s">
        <v>37</v>
      </c>
      <c r="F27" s="1" t="s">
        <v>10</v>
      </c>
      <c r="G27" s="1" t="s">
        <v>11</v>
      </c>
      <c r="H27" s="1" t="s">
        <v>12</v>
      </c>
      <c r="I27" s="1">
        <v>9</v>
      </c>
      <c r="J27" s="1">
        <v>250</v>
      </c>
      <c r="K27" s="1">
        <v>2250</v>
      </c>
      <c r="L27" s="1" t="s">
        <v>36</v>
      </c>
      <c r="M27" s="1" t="s">
        <v>22</v>
      </c>
      <c r="N27" s="1" t="str">
        <f t="shared" si="0"/>
        <v>high</v>
      </c>
    </row>
    <row r="28" spans="1:14" x14ac:dyDescent="0.25">
      <c r="A28" s="1">
        <v>28</v>
      </c>
      <c r="B28" s="1">
        <v>7</v>
      </c>
      <c r="C28" s="1">
        <v>1</v>
      </c>
      <c r="D28" s="1">
        <v>2026</v>
      </c>
      <c r="E28" s="1" t="s">
        <v>33</v>
      </c>
      <c r="F28" s="1" t="s">
        <v>15</v>
      </c>
      <c r="G28" s="1" t="s">
        <v>16</v>
      </c>
      <c r="H28" s="1" t="s">
        <v>12</v>
      </c>
      <c r="I28" s="1">
        <v>3</v>
      </c>
      <c r="J28" s="1">
        <v>1200</v>
      </c>
      <c r="K28" s="1">
        <v>3600</v>
      </c>
      <c r="L28" s="1" t="s">
        <v>30</v>
      </c>
      <c r="M28" s="1" t="s">
        <v>22</v>
      </c>
      <c r="N28" s="1" t="str">
        <f t="shared" si="0"/>
        <v>high</v>
      </c>
    </row>
    <row r="29" spans="1:14" x14ac:dyDescent="0.25">
      <c r="A29" s="1">
        <v>29</v>
      </c>
      <c r="B29" s="1">
        <v>11</v>
      </c>
      <c r="C29" s="1">
        <v>23</v>
      </c>
      <c r="D29" s="1">
        <v>2026</v>
      </c>
      <c r="E29" s="1" t="s">
        <v>18</v>
      </c>
      <c r="F29" s="1" t="s">
        <v>10</v>
      </c>
      <c r="G29" s="1" t="s">
        <v>11</v>
      </c>
      <c r="H29" s="1" t="s">
        <v>12</v>
      </c>
      <c r="I29" s="1">
        <v>9</v>
      </c>
      <c r="J29" s="1">
        <v>250</v>
      </c>
      <c r="K29" s="1">
        <v>2250</v>
      </c>
      <c r="L29" s="1" t="s">
        <v>17</v>
      </c>
      <c r="M29" s="1" t="s">
        <v>13</v>
      </c>
      <c r="N29" s="1" t="str">
        <f t="shared" si="0"/>
        <v>high</v>
      </c>
    </row>
    <row r="30" spans="1:14" x14ac:dyDescent="0.25">
      <c r="A30" s="1">
        <v>30</v>
      </c>
      <c r="B30" s="1">
        <v>1</v>
      </c>
      <c r="C30" s="1">
        <v>24</v>
      </c>
      <c r="D30" s="1">
        <v>2026</v>
      </c>
      <c r="E30" s="1" t="s">
        <v>25</v>
      </c>
      <c r="F30" s="1" t="s">
        <v>15</v>
      </c>
      <c r="G30" s="1" t="s">
        <v>11</v>
      </c>
      <c r="H30" s="1" t="s">
        <v>12</v>
      </c>
      <c r="I30" s="1">
        <v>9</v>
      </c>
      <c r="J30" s="1">
        <v>250</v>
      </c>
      <c r="K30" s="1">
        <v>2250</v>
      </c>
      <c r="L30" s="1" t="s">
        <v>36</v>
      </c>
      <c r="M30" s="1" t="s">
        <v>13</v>
      </c>
      <c r="N30" s="1" t="str">
        <f t="shared" si="0"/>
        <v>high</v>
      </c>
    </row>
    <row r="31" spans="1:14" x14ac:dyDescent="0.25">
      <c r="A31" s="1">
        <v>31</v>
      </c>
      <c r="B31" s="1">
        <v>9</v>
      </c>
      <c r="C31" s="1">
        <v>3</v>
      </c>
      <c r="D31" s="1">
        <v>2026</v>
      </c>
      <c r="E31" s="1" t="s">
        <v>21</v>
      </c>
      <c r="F31" s="1" t="s">
        <v>15</v>
      </c>
      <c r="G31" s="1" t="s">
        <v>19</v>
      </c>
      <c r="H31" s="1" t="s">
        <v>12</v>
      </c>
      <c r="I31" s="1">
        <v>1</v>
      </c>
      <c r="J31" s="1">
        <v>25</v>
      </c>
      <c r="K31" s="1">
        <v>25</v>
      </c>
      <c r="L31" s="1" t="s">
        <v>36</v>
      </c>
      <c r="M31" s="1" t="s">
        <v>22</v>
      </c>
      <c r="N31" s="1" t="str">
        <f t="shared" si="0"/>
        <v>low</v>
      </c>
    </row>
    <row r="32" spans="1:14" x14ac:dyDescent="0.25">
      <c r="A32" s="1">
        <v>32</v>
      </c>
      <c r="B32" s="1">
        <v>4</v>
      </c>
      <c r="C32" s="1">
        <v>19</v>
      </c>
      <c r="D32" s="1">
        <v>2026</v>
      </c>
      <c r="E32" s="1" t="s">
        <v>35</v>
      </c>
      <c r="F32" s="1" t="s">
        <v>15</v>
      </c>
      <c r="G32" s="1" t="s">
        <v>16</v>
      </c>
      <c r="H32" s="1" t="s">
        <v>12</v>
      </c>
      <c r="I32" s="1">
        <v>10</v>
      </c>
      <c r="J32" s="1">
        <v>1200</v>
      </c>
      <c r="K32" s="1">
        <v>12000</v>
      </c>
      <c r="L32" s="1" t="s">
        <v>34</v>
      </c>
      <c r="M32" s="1" t="s">
        <v>13</v>
      </c>
      <c r="N32" s="1" t="str">
        <f t="shared" si="0"/>
        <v>high</v>
      </c>
    </row>
    <row r="33" spans="1:14" x14ac:dyDescent="0.25">
      <c r="A33" s="1">
        <v>33</v>
      </c>
      <c r="B33" s="1">
        <v>5</v>
      </c>
      <c r="C33" s="1">
        <v>7</v>
      </c>
      <c r="D33" s="1">
        <v>2026</v>
      </c>
      <c r="E33" s="1" t="s">
        <v>25</v>
      </c>
      <c r="F33" s="1" t="s">
        <v>10</v>
      </c>
      <c r="G33" s="1" t="s">
        <v>26</v>
      </c>
      <c r="H33" s="1" t="s">
        <v>27</v>
      </c>
      <c r="I33" s="1">
        <v>6</v>
      </c>
      <c r="J33" s="1">
        <v>5</v>
      </c>
      <c r="K33" s="1">
        <v>30</v>
      </c>
      <c r="L33" s="1" t="s">
        <v>17</v>
      </c>
      <c r="M33" s="1" t="s">
        <v>32</v>
      </c>
      <c r="N33" s="1" t="str">
        <f t="shared" si="0"/>
        <v>low</v>
      </c>
    </row>
    <row r="34" spans="1:14" x14ac:dyDescent="0.25">
      <c r="A34" s="1">
        <v>34</v>
      </c>
      <c r="B34" s="1">
        <v>2</v>
      </c>
      <c r="C34" s="1">
        <v>1</v>
      </c>
      <c r="D34" s="1">
        <v>2026</v>
      </c>
      <c r="E34" s="1" t="s">
        <v>18</v>
      </c>
      <c r="F34" s="1" t="s">
        <v>43</v>
      </c>
      <c r="G34" s="1" t="s">
        <v>38</v>
      </c>
      <c r="H34" s="1" t="s">
        <v>29</v>
      </c>
      <c r="I34" s="1">
        <v>6</v>
      </c>
      <c r="J34" s="1">
        <v>95</v>
      </c>
      <c r="K34" s="1">
        <v>570</v>
      </c>
      <c r="L34" s="1" t="s">
        <v>17</v>
      </c>
      <c r="M34" s="1" t="s">
        <v>13</v>
      </c>
      <c r="N34" s="1" t="str">
        <f t="shared" ref="N34:N65" si="1">IF(K34&gt;=500,"high","low")</f>
        <v>high</v>
      </c>
    </row>
    <row r="35" spans="1:14" x14ac:dyDescent="0.25">
      <c r="A35" s="1">
        <v>35</v>
      </c>
      <c r="B35" s="1">
        <v>5</v>
      </c>
      <c r="C35" s="1">
        <v>5</v>
      </c>
      <c r="D35" s="1">
        <v>2026</v>
      </c>
      <c r="E35" s="1" t="s">
        <v>25</v>
      </c>
      <c r="F35" s="1" t="s">
        <v>15</v>
      </c>
      <c r="G35" s="1" t="s">
        <v>19</v>
      </c>
      <c r="H35" s="1" t="s">
        <v>12</v>
      </c>
      <c r="I35" s="1">
        <v>9</v>
      </c>
      <c r="J35" s="1">
        <v>25</v>
      </c>
      <c r="K35" s="1">
        <v>225</v>
      </c>
      <c r="L35" s="1" t="s">
        <v>36</v>
      </c>
      <c r="M35" s="1" t="s">
        <v>22</v>
      </c>
      <c r="N35" s="1" t="str">
        <f t="shared" si="1"/>
        <v>low</v>
      </c>
    </row>
    <row r="36" spans="1:14" x14ac:dyDescent="0.25">
      <c r="A36" s="1">
        <v>36</v>
      </c>
      <c r="B36" s="1">
        <v>10</v>
      </c>
      <c r="C36" s="1">
        <v>26</v>
      </c>
      <c r="D36" s="1">
        <v>2026</v>
      </c>
      <c r="E36" s="1" t="s">
        <v>31</v>
      </c>
      <c r="F36" s="1" t="s">
        <v>15</v>
      </c>
      <c r="G36" s="1" t="s">
        <v>26</v>
      </c>
      <c r="H36" s="1" t="s">
        <v>27</v>
      </c>
      <c r="I36" s="1">
        <v>5</v>
      </c>
      <c r="J36" s="1">
        <v>5</v>
      </c>
      <c r="K36" s="1">
        <v>25</v>
      </c>
      <c r="L36" s="1" t="s">
        <v>17</v>
      </c>
      <c r="M36" s="1" t="s">
        <v>24</v>
      </c>
      <c r="N36" s="1" t="str">
        <f t="shared" si="1"/>
        <v>low</v>
      </c>
    </row>
    <row r="37" spans="1:14" x14ac:dyDescent="0.25">
      <c r="A37" s="1">
        <v>37</v>
      </c>
      <c r="B37" s="1">
        <v>2</v>
      </c>
      <c r="C37" s="1">
        <v>4</v>
      </c>
      <c r="D37" s="1">
        <v>2026</v>
      </c>
      <c r="E37" s="1" t="s">
        <v>31</v>
      </c>
      <c r="F37" s="1" t="s">
        <v>10</v>
      </c>
      <c r="G37" s="1" t="s">
        <v>19</v>
      </c>
      <c r="H37" s="1" t="s">
        <v>12</v>
      </c>
      <c r="I37" s="1">
        <v>5</v>
      </c>
      <c r="J37" s="1">
        <v>25</v>
      </c>
      <c r="K37" s="1">
        <v>125</v>
      </c>
      <c r="L37" s="1" t="s">
        <v>17</v>
      </c>
      <c r="M37" s="1" t="s">
        <v>32</v>
      </c>
      <c r="N37" s="1" t="str">
        <f t="shared" si="1"/>
        <v>low</v>
      </c>
    </row>
    <row r="38" spans="1:14" x14ac:dyDescent="0.25">
      <c r="A38" s="1">
        <v>38</v>
      </c>
      <c r="B38" s="1">
        <v>9</v>
      </c>
      <c r="C38" s="1">
        <v>16</v>
      </c>
      <c r="D38" s="1">
        <v>2026</v>
      </c>
      <c r="E38" s="1" t="s">
        <v>9</v>
      </c>
      <c r="F38" s="1" t="s">
        <v>15</v>
      </c>
      <c r="G38" s="1" t="s">
        <v>19</v>
      </c>
      <c r="H38" s="1" t="s">
        <v>12</v>
      </c>
      <c r="I38" s="1">
        <v>5</v>
      </c>
      <c r="J38" s="1">
        <v>25</v>
      </c>
      <c r="K38" s="1">
        <v>125</v>
      </c>
      <c r="L38" s="1" t="s">
        <v>30</v>
      </c>
      <c r="M38" s="1" t="s">
        <v>24</v>
      </c>
      <c r="N38" s="1" t="str">
        <f t="shared" si="1"/>
        <v>low</v>
      </c>
    </row>
    <row r="39" spans="1:14" x14ac:dyDescent="0.25">
      <c r="A39" s="1">
        <v>39</v>
      </c>
      <c r="B39" s="1">
        <v>3</v>
      </c>
      <c r="C39" s="1">
        <v>21</v>
      </c>
      <c r="D39" s="1">
        <v>2026</v>
      </c>
      <c r="E39" s="1" t="s">
        <v>9</v>
      </c>
      <c r="F39" s="1" t="s">
        <v>10</v>
      </c>
      <c r="G39" s="1" t="s">
        <v>16</v>
      </c>
      <c r="H39" s="1" t="s">
        <v>12</v>
      </c>
      <c r="I39" s="1">
        <v>6</v>
      </c>
      <c r="J39" s="1">
        <v>1200</v>
      </c>
      <c r="K39" s="1">
        <v>7200</v>
      </c>
      <c r="L39" s="1" t="s">
        <v>23</v>
      </c>
      <c r="M39" s="1" t="s">
        <v>13</v>
      </c>
      <c r="N39" s="1" t="str">
        <f t="shared" si="1"/>
        <v>high</v>
      </c>
    </row>
    <row r="40" spans="1:14" x14ac:dyDescent="0.25">
      <c r="A40" s="1">
        <v>40</v>
      </c>
      <c r="B40" s="1">
        <v>2</v>
      </c>
      <c r="C40" s="1">
        <v>23</v>
      </c>
      <c r="D40" s="1">
        <v>2026</v>
      </c>
      <c r="E40" s="1" t="s">
        <v>21</v>
      </c>
      <c r="F40" s="1" t="s">
        <v>43</v>
      </c>
      <c r="G40" s="1" t="s">
        <v>16</v>
      </c>
      <c r="H40" s="1" t="s">
        <v>12</v>
      </c>
      <c r="I40" s="1">
        <v>0</v>
      </c>
      <c r="J40" s="1">
        <v>1200</v>
      </c>
      <c r="K40" s="1">
        <v>0</v>
      </c>
      <c r="L40" s="1" t="s">
        <v>34</v>
      </c>
      <c r="M40" s="1" t="s">
        <v>20</v>
      </c>
      <c r="N40" s="1" t="str">
        <f t="shared" si="1"/>
        <v>low</v>
      </c>
    </row>
    <row r="41" spans="1:14" x14ac:dyDescent="0.25">
      <c r="A41" s="1">
        <v>41</v>
      </c>
      <c r="B41" s="1">
        <v>1</v>
      </c>
      <c r="C41" s="1">
        <v>10</v>
      </c>
      <c r="D41" s="1">
        <v>2026</v>
      </c>
      <c r="E41" s="1" t="s">
        <v>25</v>
      </c>
      <c r="F41" s="1" t="s">
        <v>15</v>
      </c>
      <c r="G41" s="1" t="s">
        <v>38</v>
      </c>
      <c r="H41" s="1" t="s">
        <v>29</v>
      </c>
      <c r="I41" s="1">
        <v>3</v>
      </c>
      <c r="J41" s="1">
        <v>95</v>
      </c>
      <c r="K41" s="1">
        <v>285</v>
      </c>
      <c r="L41" s="1" t="s">
        <v>36</v>
      </c>
      <c r="M41" s="1" t="s">
        <v>24</v>
      </c>
      <c r="N41" s="1" t="str">
        <f t="shared" si="1"/>
        <v>low</v>
      </c>
    </row>
    <row r="42" spans="1:14" x14ac:dyDescent="0.25">
      <c r="A42" s="1">
        <v>42</v>
      </c>
      <c r="B42" s="1">
        <v>7</v>
      </c>
      <c r="C42" s="1">
        <v>20</v>
      </c>
      <c r="D42" s="1">
        <v>2026</v>
      </c>
      <c r="E42" s="1" t="s">
        <v>21</v>
      </c>
      <c r="F42" s="1" t="s">
        <v>10</v>
      </c>
      <c r="G42" s="1" t="s">
        <v>28</v>
      </c>
      <c r="H42" s="1" t="s">
        <v>29</v>
      </c>
      <c r="I42" s="1">
        <v>9</v>
      </c>
      <c r="J42" s="1">
        <v>180</v>
      </c>
      <c r="K42" s="1">
        <v>1620</v>
      </c>
      <c r="L42" s="1" t="s">
        <v>36</v>
      </c>
      <c r="M42" s="1" t="s">
        <v>20</v>
      </c>
      <c r="N42" s="1" t="str">
        <f t="shared" si="1"/>
        <v>high</v>
      </c>
    </row>
    <row r="43" spans="1:14" x14ac:dyDescent="0.25">
      <c r="A43" s="1">
        <v>43</v>
      </c>
      <c r="B43" s="1">
        <v>3</v>
      </c>
      <c r="C43" s="1">
        <v>24</v>
      </c>
      <c r="D43" s="1">
        <v>2026</v>
      </c>
      <c r="E43" s="1" t="s">
        <v>25</v>
      </c>
      <c r="F43" s="1" t="s">
        <v>10</v>
      </c>
      <c r="G43" s="1" t="s">
        <v>38</v>
      </c>
      <c r="H43" s="1" t="s">
        <v>29</v>
      </c>
      <c r="I43" s="1">
        <v>1</v>
      </c>
      <c r="J43" s="1">
        <v>95</v>
      </c>
      <c r="K43" s="1">
        <v>95</v>
      </c>
      <c r="L43" s="1" t="s">
        <v>36</v>
      </c>
      <c r="M43" s="1" t="s">
        <v>20</v>
      </c>
      <c r="N43" s="1" t="str">
        <f t="shared" si="1"/>
        <v>low</v>
      </c>
    </row>
    <row r="44" spans="1:14" x14ac:dyDescent="0.25">
      <c r="A44" s="1">
        <v>44</v>
      </c>
      <c r="B44" s="1">
        <v>12</v>
      </c>
      <c r="C44" s="1">
        <v>4</v>
      </c>
      <c r="D44" s="1">
        <v>2026</v>
      </c>
      <c r="E44" s="1" t="s">
        <v>33</v>
      </c>
      <c r="F44" s="1" t="s">
        <v>15</v>
      </c>
      <c r="G44" s="1" t="s">
        <v>28</v>
      </c>
      <c r="H44" s="1" t="s">
        <v>29</v>
      </c>
      <c r="I44" s="1">
        <v>3</v>
      </c>
      <c r="J44" s="1">
        <v>180</v>
      </c>
      <c r="K44" s="1">
        <v>540</v>
      </c>
      <c r="L44" s="1" t="s">
        <v>36</v>
      </c>
      <c r="M44" s="1" t="s">
        <v>22</v>
      </c>
      <c r="N44" s="1" t="str">
        <f t="shared" si="1"/>
        <v>high</v>
      </c>
    </row>
    <row r="45" spans="1:14" x14ac:dyDescent="0.25">
      <c r="A45" s="1">
        <v>45</v>
      </c>
      <c r="B45" s="1">
        <v>4</v>
      </c>
      <c r="C45" s="1">
        <v>8</v>
      </c>
      <c r="D45" s="1">
        <v>2026</v>
      </c>
      <c r="E45" s="1" t="s">
        <v>14</v>
      </c>
      <c r="F45" s="1" t="s">
        <v>10</v>
      </c>
      <c r="G45" s="1" t="s">
        <v>28</v>
      </c>
      <c r="H45" s="1" t="s">
        <v>29</v>
      </c>
      <c r="I45" s="1">
        <v>5</v>
      </c>
      <c r="J45" s="1">
        <v>180</v>
      </c>
      <c r="K45" s="1">
        <v>900</v>
      </c>
      <c r="L45" s="1" t="s">
        <v>17</v>
      </c>
      <c r="M45" s="1" t="s">
        <v>32</v>
      </c>
      <c r="N45" s="1" t="str">
        <f t="shared" si="1"/>
        <v>high</v>
      </c>
    </row>
    <row r="46" spans="1:14" x14ac:dyDescent="0.25">
      <c r="A46" s="1">
        <v>46</v>
      </c>
      <c r="B46" s="1">
        <v>7</v>
      </c>
      <c r="C46" s="1">
        <v>22</v>
      </c>
      <c r="D46" s="1">
        <v>2026</v>
      </c>
      <c r="E46" s="1" t="s">
        <v>31</v>
      </c>
      <c r="F46" s="1" t="s">
        <v>15</v>
      </c>
      <c r="G46" s="1" t="s">
        <v>28</v>
      </c>
      <c r="H46" s="1" t="s">
        <v>29</v>
      </c>
      <c r="I46" s="1">
        <v>9</v>
      </c>
      <c r="J46" s="1">
        <v>180</v>
      </c>
      <c r="K46" s="1">
        <v>1620</v>
      </c>
      <c r="L46" s="1" t="s">
        <v>30</v>
      </c>
      <c r="M46" s="1" t="s">
        <v>20</v>
      </c>
      <c r="N46" s="1" t="str">
        <f t="shared" si="1"/>
        <v>high</v>
      </c>
    </row>
    <row r="47" spans="1:14" x14ac:dyDescent="0.25">
      <c r="A47" s="1">
        <v>47</v>
      </c>
      <c r="B47" s="1">
        <v>1</v>
      </c>
      <c r="C47" s="1">
        <v>4</v>
      </c>
      <c r="D47" s="1">
        <v>2026</v>
      </c>
      <c r="E47" s="1" t="s">
        <v>35</v>
      </c>
      <c r="F47" s="1" t="s">
        <v>10</v>
      </c>
      <c r="G47" s="1" t="s">
        <v>26</v>
      </c>
      <c r="H47" s="1" t="s">
        <v>27</v>
      </c>
      <c r="I47" s="1">
        <v>5</v>
      </c>
      <c r="J47" s="1">
        <v>5</v>
      </c>
      <c r="K47" s="1">
        <v>25</v>
      </c>
      <c r="L47" s="1" t="s">
        <v>23</v>
      </c>
      <c r="M47" s="1" t="s">
        <v>13</v>
      </c>
      <c r="N47" s="1" t="str">
        <f t="shared" si="1"/>
        <v>low</v>
      </c>
    </row>
    <row r="48" spans="1:14" x14ac:dyDescent="0.25">
      <c r="A48" s="1">
        <v>48</v>
      </c>
      <c r="B48" s="1">
        <v>7</v>
      </c>
      <c r="C48" s="1">
        <v>19</v>
      </c>
      <c r="D48" s="1">
        <v>2026</v>
      </c>
      <c r="E48" s="1" t="s">
        <v>37</v>
      </c>
      <c r="F48" s="1" t="s">
        <v>15</v>
      </c>
      <c r="G48" s="1" t="s">
        <v>26</v>
      </c>
      <c r="H48" s="1" t="s">
        <v>27</v>
      </c>
      <c r="I48" s="1">
        <v>0</v>
      </c>
      <c r="J48" s="1">
        <v>5</v>
      </c>
      <c r="K48" s="1">
        <v>0</v>
      </c>
      <c r="L48" s="1" t="s">
        <v>34</v>
      </c>
      <c r="M48" s="1" t="s">
        <v>13</v>
      </c>
      <c r="N48" s="1" t="str">
        <f t="shared" si="1"/>
        <v>low</v>
      </c>
    </row>
    <row r="49" spans="1:14" x14ac:dyDescent="0.25">
      <c r="A49" s="1">
        <v>49</v>
      </c>
      <c r="B49" s="1">
        <v>6</v>
      </c>
      <c r="C49" s="1">
        <v>14</v>
      </c>
      <c r="D49" s="1">
        <v>2026</v>
      </c>
      <c r="E49" s="1" t="s">
        <v>44</v>
      </c>
      <c r="F49" s="1" t="s">
        <v>15</v>
      </c>
      <c r="G49" s="1" t="s">
        <v>11</v>
      </c>
      <c r="H49" s="1" t="s">
        <v>12</v>
      </c>
      <c r="I49" s="1">
        <v>4</v>
      </c>
      <c r="J49" s="1">
        <v>250</v>
      </c>
      <c r="K49" s="1">
        <v>1000</v>
      </c>
      <c r="L49" s="1" t="s">
        <v>17</v>
      </c>
      <c r="M49" s="1" t="s">
        <v>32</v>
      </c>
      <c r="N49" s="1" t="str">
        <f t="shared" si="1"/>
        <v>high</v>
      </c>
    </row>
    <row r="50" spans="1:14" x14ac:dyDescent="0.25">
      <c r="A50" s="1">
        <v>50</v>
      </c>
      <c r="B50" s="1">
        <v>11</v>
      </c>
      <c r="C50" s="1">
        <v>14</v>
      </c>
      <c r="D50" s="1">
        <v>2026</v>
      </c>
      <c r="E50" s="1" t="s">
        <v>25</v>
      </c>
      <c r="F50" s="1" t="s">
        <v>10</v>
      </c>
      <c r="G50" s="1" t="s">
        <v>26</v>
      </c>
      <c r="H50" s="1" t="s">
        <v>27</v>
      </c>
      <c r="I50" s="1">
        <v>5</v>
      </c>
      <c r="J50" s="1">
        <v>5</v>
      </c>
      <c r="K50" s="1">
        <v>25</v>
      </c>
      <c r="L50" s="1" t="s">
        <v>36</v>
      </c>
      <c r="M50" s="1" t="s">
        <v>22</v>
      </c>
      <c r="N50" s="1" t="str">
        <f t="shared" si="1"/>
        <v>low</v>
      </c>
    </row>
    <row r="51" spans="1:14" x14ac:dyDescent="0.25">
      <c r="A51" s="1">
        <v>51</v>
      </c>
      <c r="B51" s="1">
        <v>11</v>
      </c>
      <c r="C51" s="1">
        <v>24</v>
      </c>
      <c r="D51" s="1">
        <v>2026</v>
      </c>
      <c r="E51" s="1" t="s">
        <v>14</v>
      </c>
      <c r="F51" s="1" t="s">
        <v>43</v>
      </c>
      <c r="G51" s="1" t="s">
        <v>11</v>
      </c>
      <c r="H51" s="1" t="s">
        <v>12</v>
      </c>
      <c r="I51" s="1">
        <v>7</v>
      </c>
      <c r="J51" s="1">
        <v>250</v>
      </c>
      <c r="K51" s="1">
        <v>1750</v>
      </c>
      <c r="L51" s="1" t="s">
        <v>36</v>
      </c>
      <c r="M51" s="1" t="s">
        <v>24</v>
      </c>
      <c r="N51" s="1" t="str">
        <f t="shared" si="1"/>
        <v>high</v>
      </c>
    </row>
    <row r="52" spans="1:14" x14ac:dyDescent="0.25">
      <c r="A52" s="1">
        <v>52</v>
      </c>
      <c r="B52" s="1">
        <v>4</v>
      </c>
      <c r="C52" s="1">
        <v>14</v>
      </c>
      <c r="D52" s="1">
        <v>2026</v>
      </c>
      <c r="E52" s="1" t="s">
        <v>35</v>
      </c>
      <c r="F52" s="1" t="s">
        <v>43</v>
      </c>
      <c r="G52" s="1" t="s">
        <v>28</v>
      </c>
      <c r="H52" s="1" t="s">
        <v>29</v>
      </c>
      <c r="I52" s="1">
        <v>5</v>
      </c>
      <c r="J52" s="1">
        <v>180</v>
      </c>
      <c r="K52" s="1">
        <v>900</v>
      </c>
      <c r="L52" s="1" t="s">
        <v>23</v>
      </c>
      <c r="M52" s="1" t="s">
        <v>20</v>
      </c>
      <c r="N52" s="1" t="str">
        <f t="shared" si="1"/>
        <v>high</v>
      </c>
    </row>
    <row r="53" spans="1:14" x14ac:dyDescent="0.25">
      <c r="A53" s="1">
        <v>53</v>
      </c>
      <c r="B53" s="1">
        <v>12</v>
      </c>
      <c r="C53" s="1">
        <v>6</v>
      </c>
      <c r="D53" s="1">
        <v>2026</v>
      </c>
      <c r="E53" s="1" t="s">
        <v>44</v>
      </c>
      <c r="F53" s="1" t="s">
        <v>15</v>
      </c>
      <c r="G53" s="1" t="s">
        <v>26</v>
      </c>
      <c r="H53" s="1" t="s">
        <v>27</v>
      </c>
      <c r="I53" s="1">
        <v>8</v>
      </c>
      <c r="J53" s="1">
        <v>5</v>
      </c>
      <c r="K53" s="1">
        <v>40</v>
      </c>
      <c r="L53" s="1" t="s">
        <v>30</v>
      </c>
      <c r="M53" s="1" t="s">
        <v>24</v>
      </c>
      <c r="N53" s="1" t="str">
        <f t="shared" si="1"/>
        <v>low</v>
      </c>
    </row>
    <row r="54" spans="1:14" x14ac:dyDescent="0.25">
      <c r="A54" s="1">
        <v>54</v>
      </c>
      <c r="B54" s="1">
        <v>4</v>
      </c>
      <c r="C54" s="1">
        <v>26</v>
      </c>
      <c r="D54" s="1">
        <v>2026</v>
      </c>
      <c r="E54" s="1" t="s">
        <v>37</v>
      </c>
      <c r="F54" s="1" t="s">
        <v>10</v>
      </c>
      <c r="G54" s="1" t="s">
        <v>19</v>
      </c>
      <c r="H54" s="1" t="s">
        <v>12</v>
      </c>
      <c r="I54" s="1">
        <v>0</v>
      </c>
      <c r="J54" s="1">
        <v>25</v>
      </c>
      <c r="K54" s="1">
        <v>0</v>
      </c>
      <c r="L54" s="1" t="s">
        <v>23</v>
      </c>
      <c r="M54" s="1" t="s">
        <v>13</v>
      </c>
      <c r="N54" s="1" t="str">
        <f t="shared" si="1"/>
        <v>low</v>
      </c>
    </row>
    <row r="55" spans="1:14" x14ac:dyDescent="0.25">
      <c r="A55" s="1">
        <v>55</v>
      </c>
      <c r="B55" s="1">
        <v>7</v>
      </c>
      <c r="C55" s="1">
        <v>21</v>
      </c>
      <c r="D55" s="1">
        <v>2026</v>
      </c>
      <c r="E55" s="1" t="s">
        <v>35</v>
      </c>
      <c r="F55" s="1" t="s">
        <v>10</v>
      </c>
      <c r="G55" s="1" t="s">
        <v>16</v>
      </c>
      <c r="H55" s="1" t="s">
        <v>12</v>
      </c>
      <c r="I55" s="1">
        <v>8</v>
      </c>
      <c r="J55" s="1">
        <v>1200</v>
      </c>
      <c r="K55" s="1">
        <v>9600</v>
      </c>
      <c r="L55" s="1" t="s">
        <v>23</v>
      </c>
      <c r="M55" s="1" t="s">
        <v>20</v>
      </c>
      <c r="N55" s="1" t="str">
        <f t="shared" si="1"/>
        <v>high</v>
      </c>
    </row>
    <row r="56" spans="1:14" x14ac:dyDescent="0.25">
      <c r="A56" s="1">
        <v>56</v>
      </c>
      <c r="B56" s="1">
        <v>2</v>
      </c>
      <c r="C56" s="1">
        <v>25</v>
      </c>
      <c r="D56" s="1">
        <v>2026</v>
      </c>
      <c r="E56" s="1" t="s">
        <v>33</v>
      </c>
      <c r="F56" s="1" t="s">
        <v>10</v>
      </c>
      <c r="G56" s="1" t="s">
        <v>19</v>
      </c>
      <c r="H56" s="1" t="s">
        <v>12</v>
      </c>
      <c r="I56" s="1">
        <v>1</v>
      </c>
      <c r="J56" s="1">
        <v>25</v>
      </c>
      <c r="K56" s="1">
        <v>25</v>
      </c>
      <c r="L56" s="1" t="s">
        <v>34</v>
      </c>
      <c r="M56" s="1" t="s">
        <v>22</v>
      </c>
      <c r="N56" s="1" t="str">
        <f t="shared" si="1"/>
        <v>low</v>
      </c>
    </row>
    <row r="57" spans="1:14" x14ac:dyDescent="0.25">
      <c r="A57" s="1">
        <v>57</v>
      </c>
      <c r="B57" s="1">
        <v>4</v>
      </c>
      <c r="C57" s="1">
        <v>28</v>
      </c>
      <c r="D57" s="1">
        <v>2026</v>
      </c>
      <c r="E57" s="1" t="s">
        <v>44</v>
      </c>
      <c r="F57" s="1" t="s">
        <v>10</v>
      </c>
      <c r="G57" s="1" t="s">
        <v>16</v>
      </c>
      <c r="H57" s="1" t="s">
        <v>12</v>
      </c>
      <c r="I57" s="1">
        <v>9</v>
      </c>
      <c r="J57" s="1">
        <v>1200</v>
      </c>
      <c r="K57" s="1">
        <v>10800</v>
      </c>
      <c r="L57" s="1" t="s">
        <v>34</v>
      </c>
      <c r="M57" s="1" t="s">
        <v>13</v>
      </c>
      <c r="N57" s="1" t="str">
        <f t="shared" si="1"/>
        <v>high</v>
      </c>
    </row>
    <row r="58" spans="1:14" x14ac:dyDescent="0.25">
      <c r="A58" s="1">
        <v>58</v>
      </c>
      <c r="B58" s="1">
        <v>8</v>
      </c>
      <c r="C58" s="1">
        <v>20</v>
      </c>
      <c r="D58" s="1">
        <v>2026</v>
      </c>
      <c r="E58" s="1" t="s">
        <v>31</v>
      </c>
      <c r="F58" s="1" t="s">
        <v>10</v>
      </c>
      <c r="G58" s="1" t="s">
        <v>26</v>
      </c>
      <c r="H58" s="1" t="s">
        <v>27</v>
      </c>
      <c r="I58" s="1">
        <v>6</v>
      </c>
      <c r="J58" s="1">
        <v>5</v>
      </c>
      <c r="K58" s="1">
        <v>30</v>
      </c>
      <c r="L58" s="1" t="s">
        <v>36</v>
      </c>
      <c r="M58" s="1" t="s">
        <v>22</v>
      </c>
      <c r="N58" s="1" t="str">
        <f t="shared" si="1"/>
        <v>low</v>
      </c>
    </row>
    <row r="59" spans="1:14" x14ac:dyDescent="0.25">
      <c r="A59" s="1">
        <v>59</v>
      </c>
      <c r="B59" s="1">
        <v>4</v>
      </c>
      <c r="C59" s="1">
        <v>27</v>
      </c>
      <c r="D59" s="1">
        <v>2026</v>
      </c>
      <c r="E59" s="1" t="s">
        <v>9</v>
      </c>
      <c r="F59" s="1" t="s">
        <v>43</v>
      </c>
      <c r="G59" s="1" t="s">
        <v>38</v>
      </c>
      <c r="H59" s="1" t="s">
        <v>29</v>
      </c>
      <c r="I59" s="1">
        <v>5</v>
      </c>
      <c r="J59" s="1">
        <v>95</v>
      </c>
      <c r="K59" s="1">
        <v>475</v>
      </c>
      <c r="L59" s="1" t="s">
        <v>23</v>
      </c>
      <c r="M59" s="1" t="s">
        <v>24</v>
      </c>
      <c r="N59" s="1" t="str">
        <f t="shared" si="1"/>
        <v>low</v>
      </c>
    </row>
    <row r="60" spans="1:14" x14ac:dyDescent="0.25">
      <c r="A60" s="1">
        <v>60</v>
      </c>
      <c r="B60" s="1">
        <v>4</v>
      </c>
      <c r="C60" s="1">
        <v>9</v>
      </c>
      <c r="D60" s="1">
        <v>2026</v>
      </c>
      <c r="E60" s="1" t="s">
        <v>25</v>
      </c>
      <c r="F60" s="1" t="s">
        <v>15</v>
      </c>
      <c r="G60" s="1" t="s">
        <v>11</v>
      </c>
      <c r="H60" s="1" t="s">
        <v>12</v>
      </c>
      <c r="I60" s="1">
        <v>5</v>
      </c>
      <c r="J60" s="1">
        <v>250</v>
      </c>
      <c r="K60" s="1">
        <v>1250</v>
      </c>
      <c r="L60" s="1" t="s">
        <v>36</v>
      </c>
      <c r="M60" s="1" t="s">
        <v>20</v>
      </c>
      <c r="N60" s="1" t="str">
        <f t="shared" si="1"/>
        <v>high</v>
      </c>
    </row>
    <row r="61" spans="1:14" x14ac:dyDescent="0.25">
      <c r="A61" s="1">
        <v>61</v>
      </c>
      <c r="B61" s="1">
        <v>12</v>
      </c>
      <c r="C61" s="1">
        <v>7</v>
      </c>
      <c r="D61" s="1">
        <v>2026</v>
      </c>
      <c r="E61" s="1" t="s">
        <v>44</v>
      </c>
      <c r="F61" s="1" t="s">
        <v>10</v>
      </c>
      <c r="G61" s="1" t="s">
        <v>38</v>
      </c>
      <c r="H61" s="1" t="s">
        <v>29</v>
      </c>
      <c r="I61" s="1">
        <v>3</v>
      </c>
      <c r="J61" s="1">
        <v>95</v>
      </c>
      <c r="K61" s="1">
        <v>285</v>
      </c>
      <c r="L61" s="1" t="s">
        <v>23</v>
      </c>
      <c r="M61" s="1" t="s">
        <v>24</v>
      </c>
      <c r="N61" s="1" t="str">
        <f t="shared" si="1"/>
        <v>low</v>
      </c>
    </row>
    <row r="62" spans="1:14" x14ac:dyDescent="0.25">
      <c r="A62" s="1">
        <v>62</v>
      </c>
      <c r="B62" s="1">
        <v>7</v>
      </c>
      <c r="C62" s="1">
        <v>25</v>
      </c>
      <c r="D62" s="1">
        <v>2026</v>
      </c>
      <c r="E62" s="1" t="s">
        <v>35</v>
      </c>
      <c r="F62" s="1" t="s">
        <v>15</v>
      </c>
      <c r="G62" s="1" t="s">
        <v>19</v>
      </c>
      <c r="H62" s="1" t="s">
        <v>12</v>
      </c>
      <c r="I62" s="1">
        <v>7</v>
      </c>
      <c r="J62" s="1">
        <v>25</v>
      </c>
      <c r="K62" s="1">
        <v>175</v>
      </c>
      <c r="L62" s="1" t="s">
        <v>23</v>
      </c>
      <c r="M62" s="1" t="s">
        <v>22</v>
      </c>
      <c r="N62" s="1" t="str">
        <f t="shared" si="1"/>
        <v>low</v>
      </c>
    </row>
    <row r="63" spans="1:14" x14ac:dyDescent="0.25">
      <c r="A63" s="1">
        <v>63</v>
      </c>
      <c r="B63" s="1">
        <v>5</v>
      </c>
      <c r="C63" s="1">
        <v>25</v>
      </c>
      <c r="D63" s="1">
        <v>2026</v>
      </c>
      <c r="E63" s="1" t="s">
        <v>33</v>
      </c>
      <c r="F63" s="1" t="s">
        <v>10</v>
      </c>
      <c r="G63" s="1" t="s">
        <v>16</v>
      </c>
      <c r="H63" s="1" t="s">
        <v>12</v>
      </c>
      <c r="I63" s="1">
        <v>6</v>
      </c>
      <c r="J63" s="1">
        <v>1200</v>
      </c>
      <c r="K63" s="1">
        <v>7200</v>
      </c>
      <c r="L63" s="1" t="s">
        <v>36</v>
      </c>
      <c r="M63" s="1" t="s">
        <v>13</v>
      </c>
      <c r="N63" s="1" t="str">
        <f t="shared" si="1"/>
        <v>high</v>
      </c>
    </row>
    <row r="64" spans="1:14" x14ac:dyDescent="0.25">
      <c r="A64" s="1">
        <v>64</v>
      </c>
      <c r="B64" s="1">
        <v>4</v>
      </c>
      <c r="C64" s="1">
        <v>9</v>
      </c>
      <c r="D64" s="1">
        <v>2026</v>
      </c>
      <c r="E64" s="1" t="s">
        <v>33</v>
      </c>
      <c r="F64" s="1" t="s">
        <v>10</v>
      </c>
      <c r="G64" s="1" t="s">
        <v>19</v>
      </c>
      <c r="H64" s="1" t="s">
        <v>12</v>
      </c>
      <c r="I64" s="1">
        <v>0</v>
      </c>
      <c r="J64" s="1">
        <v>25</v>
      </c>
      <c r="K64" s="1">
        <v>0</v>
      </c>
      <c r="L64" s="1" t="s">
        <v>17</v>
      </c>
      <c r="M64" s="1" t="s">
        <v>22</v>
      </c>
      <c r="N64" s="1" t="str">
        <f t="shared" si="1"/>
        <v>low</v>
      </c>
    </row>
    <row r="65" spans="1:14" x14ac:dyDescent="0.25">
      <c r="A65" s="1">
        <v>65</v>
      </c>
      <c r="B65" s="1">
        <v>8</v>
      </c>
      <c r="C65" s="1">
        <v>5</v>
      </c>
      <c r="D65" s="1">
        <v>2026</v>
      </c>
      <c r="E65" s="1" t="s">
        <v>35</v>
      </c>
      <c r="F65" s="1" t="s">
        <v>43</v>
      </c>
      <c r="G65" s="1" t="s">
        <v>11</v>
      </c>
      <c r="H65" s="1" t="s">
        <v>12</v>
      </c>
      <c r="I65" s="1">
        <v>0</v>
      </c>
      <c r="J65" s="1">
        <v>250</v>
      </c>
      <c r="K65" s="1">
        <v>0</v>
      </c>
      <c r="L65" s="1" t="s">
        <v>34</v>
      </c>
      <c r="M65" s="1" t="s">
        <v>24</v>
      </c>
      <c r="N65" s="1" t="str">
        <f t="shared" si="1"/>
        <v>low</v>
      </c>
    </row>
    <row r="66" spans="1:14" x14ac:dyDescent="0.25">
      <c r="A66" s="1">
        <v>66</v>
      </c>
      <c r="B66" s="1">
        <v>3</v>
      </c>
      <c r="C66" s="1">
        <v>28</v>
      </c>
      <c r="D66" s="1">
        <v>2026</v>
      </c>
      <c r="E66" s="1" t="s">
        <v>18</v>
      </c>
      <c r="F66" s="1" t="s">
        <v>10</v>
      </c>
      <c r="G66" s="1" t="s">
        <v>16</v>
      </c>
      <c r="H66" s="1" t="s">
        <v>12</v>
      </c>
      <c r="I66" s="1">
        <v>7</v>
      </c>
      <c r="J66" s="1">
        <v>1200</v>
      </c>
      <c r="K66" s="1">
        <v>8400</v>
      </c>
      <c r="L66" s="1" t="s">
        <v>36</v>
      </c>
      <c r="M66" s="1" t="s">
        <v>22</v>
      </c>
      <c r="N66" s="1" t="str">
        <f t="shared" ref="N66:N100" si="2">IF(K66&gt;=500,"high","low")</f>
        <v>high</v>
      </c>
    </row>
    <row r="67" spans="1:14" x14ac:dyDescent="0.25">
      <c r="A67" s="1">
        <v>67</v>
      </c>
      <c r="B67" s="1">
        <v>7</v>
      </c>
      <c r="C67" s="1">
        <v>9</v>
      </c>
      <c r="D67" s="1">
        <v>2026</v>
      </c>
      <c r="E67" s="1" t="s">
        <v>33</v>
      </c>
      <c r="F67" s="1" t="s">
        <v>15</v>
      </c>
      <c r="G67" s="1" t="s">
        <v>28</v>
      </c>
      <c r="H67" s="1" t="s">
        <v>29</v>
      </c>
      <c r="I67" s="1">
        <v>6</v>
      </c>
      <c r="J67" s="1">
        <v>180</v>
      </c>
      <c r="K67" s="1">
        <v>1080</v>
      </c>
      <c r="L67" s="1" t="s">
        <v>17</v>
      </c>
      <c r="M67" s="1" t="s">
        <v>13</v>
      </c>
      <c r="N67" s="1" t="str">
        <f t="shared" si="2"/>
        <v>high</v>
      </c>
    </row>
    <row r="68" spans="1:14" x14ac:dyDescent="0.25">
      <c r="A68" s="1">
        <v>68</v>
      </c>
      <c r="B68" s="1">
        <v>4</v>
      </c>
      <c r="C68" s="1">
        <v>21</v>
      </c>
      <c r="D68" s="1">
        <v>2026</v>
      </c>
      <c r="E68" s="1" t="s">
        <v>44</v>
      </c>
      <c r="F68" s="1" t="s">
        <v>15</v>
      </c>
      <c r="G68" s="1" t="s">
        <v>16</v>
      </c>
      <c r="H68" s="1" t="s">
        <v>12</v>
      </c>
      <c r="I68" s="1">
        <v>6</v>
      </c>
      <c r="J68" s="1">
        <v>1200</v>
      </c>
      <c r="K68" s="1">
        <v>7200</v>
      </c>
      <c r="L68" s="1" t="s">
        <v>36</v>
      </c>
      <c r="M68" s="1" t="s">
        <v>24</v>
      </c>
      <c r="N68" s="1" t="str">
        <f t="shared" si="2"/>
        <v>high</v>
      </c>
    </row>
    <row r="69" spans="1:14" x14ac:dyDescent="0.25">
      <c r="A69" s="1">
        <v>69</v>
      </c>
      <c r="B69" s="1">
        <v>4</v>
      </c>
      <c r="C69" s="1">
        <v>5</v>
      </c>
      <c r="D69" s="1">
        <v>2026</v>
      </c>
      <c r="E69" s="1" t="s">
        <v>18</v>
      </c>
      <c r="F69" s="1" t="s">
        <v>15</v>
      </c>
      <c r="G69" s="1" t="s">
        <v>26</v>
      </c>
      <c r="H69" s="1" t="s">
        <v>27</v>
      </c>
      <c r="I69" s="1">
        <v>3</v>
      </c>
      <c r="J69" s="1">
        <v>5</v>
      </c>
      <c r="K69" s="1">
        <v>15</v>
      </c>
      <c r="L69" s="1" t="s">
        <v>17</v>
      </c>
      <c r="M69" s="1" t="s">
        <v>32</v>
      </c>
      <c r="N69" s="1" t="str">
        <f t="shared" si="2"/>
        <v>low</v>
      </c>
    </row>
    <row r="70" spans="1:14" x14ac:dyDescent="0.25">
      <c r="A70" s="1">
        <v>70</v>
      </c>
      <c r="B70" s="1">
        <v>10</v>
      </c>
      <c r="C70" s="1">
        <v>20</v>
      </c>
      <c r="D70" s="1">
        <v>2026</v>
      </c>
      <c r="E70" s="1" t="s">
        <v>44</v>
      </c>
      <c r="F70" s="1" t="s">
        <v>10</v>
      </c>
      <c r="G70" s="1" t="s">
        <v>28</v>
      </c>
      <c r="H70" s="1" t="s">
        <v>29</v>
      </c>
      <c r="I70" s="1">
        <v>3</v>
      </c>
      <c r="J70" s="1">
        <v>180</v>
      </c>
      <c r="K70" s="1">
        <v>540</v>
      </c>
      <c r="L70" s="1" t="s">
        <v>17</v>
      </c>
      <c r="M70" s="1" t="s">
        <v>32</v>
      </c>
      <c r="N70" s="1" t="str">
        <f t="shared" si="2"/>
        <v>high</v>
      </c>
    </row>
    <row r="71" spans="1:14" x14ac:dyDescent="0.25">
      <c r="A71" s="1">
        <v>71</v>
      </c>
      <c r="B71" s="1">
        <v>7</v>
      </c>
      <c r="C71" s="1">
        <v>23</v>
      </c>
      <c r="D71" s="1">
        <v>2026</v>
      </c>
      <c r="E71" s="1" t="s">
        <v>37</v>
      </c>
      <c r="F71" s="1" t="s">
        <v>15</v>
      </c>
      <c r="G71" s="1" t="s">
        <v>26</v>
      </c>
      <c r="H71" s="1" t="s">
        <v>27</v>
      </c>
      <c r="I71" s="1">
        <v>7</v>
      </c>
      <c r="J71" s="1">
        <v>5</v>
      </c>
      <c r="K71" s="1">
        <v>35</v>
      </c>
      <c r="L71" s="1" t="s">
        <v>43</v>
      </c>
      <c r="M71" s="1" t="s">
        <v>24</v>
      </c>
      <c r="N71" s="1" t="str">
        <f t="shared" si="2"/>
        <v>low</v>
      </c>
    </row>
    <row r="72" spans="1:14" x14ac:dyDescent="0.25">
      <c r="A72" s="1">
        <v>72</v>
      </c>
      <c r="B72" s="1">
        <v>11</v>
      </c>
      <c r="C72" s="1">
        <v>20</v>
      </c>
      <c r="D72" s="1">
        <v>2026</v>
      </c>
      <c r="E72" s="1" t="s">
        <v>44</v>
      </c>
      <c r="F72" s="1" t="s">
        <v>43</v>
      </c>
      <c r="G72" s="1" t="s">
        <v>11</v>
      </c>
      <c r="H72" s="1" t="s">
        <v>12</v>
      </c>
      <c r="I72" s="1">
        <v>5</v>
      </c>
      <c r="J72" s="1">
        <v>250</v>
      </c>
      <c r="K72" s="1">
        <v>1250</v>
      </c>
      <c r="L72" s="1" t="s">
        <v>23</v>
      </c>
      <c r="M72" s="1" t="s">
        <v>32</v>
      </c>
      <c r="N72" s="1" t="str">
        <f t="shared" si="2"/>
        <v>high</v>
      </c>
    </row>
    <row r="73" spans="1:14" x14ac:dyDescent="0.25">
      <c r="A73" s="1">
        <v>73</v>
      </c>
      <c r="B73" s="1">
        <v>11</v>
      </c>
      <c r="C73" s="1">
        <v>11</v>
      </c>
      <c r="D73" s="1">
        <v>2026</v>
      </c>
      <c r="E73" s="1" t="s">
        <v>14</v>
      </c>
      <c r="F73" s="1" t="s">
        <v>10</v>
      </c>
      <c r="G73" s="1" t="s">
        <v>16</v>
      </c>
      <c r="H73" s="1" t="s">
        <v>12</v>
      </c>
      <c r="I73" s="1">
        <v>9</v>
      </c>
      <c r="J73" s="1">
        <v>1200</v>
      </c>
      <c r="K73" s="1">
        <v>10800</v>
      </c>
      <c r="L73" s="1" t="s">
        <v>30</v>
      </c>
      <c r="M73" s="1" t="s">
        <v>22</v>
      </c>
      <c r="N73" s="1" t="str">
        <f t="shared" si="2"/>
        <v>high</v>
      </c>
    </row>
    <row r="74" spans="1:14" x14ac:dyDescent="0.25">
      <c r="A74" s="1">
        <v>74</v>
      </c>
      <c r="B74" s="1">
        <v>7</v>
      </c>
      <c r="C74" s="1">
        <v>6</v>
      </c>
      <c r="D74" s="1">
        <v>2026</v>
      </c>
      <c r="E74" s="1" t="s">
        <v>31</v>
      </c>
      <c r="F74" s="1" t="s">
        <v>15</v>
      </c>
      <c r="G74" s="1" t="s">
        <v>11</v>
      </c>
      <c r="H74" s="1" t="s">
        <v>12</v>
      </c>
      <c r="I74" s="1">
        <v>3</v>
      </c>
      <c r="J74" s="1">
        <v>250</v>
      </c>
      <c r="K74" s="1">
        <v>750</v>
      </c>
      <c r="L74" s="1" t="s">
        <v>36</v>
      </c>
      <c r="M74" s="1" t="s">
        <v>22</v>
      </c>
      <c r="N74" s="1" t="str">
        <f t="shared" si="2"/>
        <v>high</v>
      </c>
    </row>
    <row r="75" spans="1:14" x14ac:dyDescent="0.25">
      <c r="A75" s="1">
        <v>75</v>
      </c>
      <c r="B75" s="1">
        <v>12</v>
      </c>
      <c r="C75" s="1">
        <v>19</v>
      </c>
      <c r="D75" s="1">
        <v>2026</v>
      </c>
      <c r="E75" s="1" t="s">
        <v>9</v>
      </c>
      <c r="F75" s="1" t="s">
        <v>15</v>
      </c>
      <c r="G75" s="1" t="s">
        <v>38</v>
      </c>
      <c r="H75" s="1" t="s">
        <v>29</v>
      </c>
      <c r="I75" s="1">
        <v>7</v>
      </c>
      <c r="J75" s="1">
        <v>95</v>
      </c>
      <c r="K75" s="1">
        <v>665</v>
      </c>
      <c r="L75" s="1" t="s">
        <v>17</v>
      </c>
      <c r="M75" s="1" t="s">
        <v>32</v>
      </c>
      <c r="N75" s="1" t="str">
        <f t="shared" si="2"/>
        <v>high</v>
      </c>
    </row>
    <row r="76" spans="1:14" x14ac:dyDescent="0.25">
      <c r="A76" s="1">
        <v>76</v>
      </c>
      <c r="B76" s="1">
        <v>8</v>
      </c>
      <c r="C76" s="1">
        <v>19</v>
      </c>
      <c r="D76" s="1">
        <v>2026</v>
      </c>
      <c r="E76" s="1" t="s">
        <v>35</v>
      </c>
      <c r="F76" s="1" t="s">
        <v>10</v>
      </c>
      <c r="G76" s="1" t="s">
        <v>38</v>
      </c>
      <c r="H76" s="1" t="s">
        <v>29</v>
      </c>
      <c r="I76" s="1">
        <v>4</v>
      </c>
      <c r="J76" s="1">
        <v>95</v>
      </c>
      <c r="K76" s="1">
        <v>380</v>
      </c>
      <c r="L76" s="1" t="s">
        <v>30</v>
      </c>
      <c r="M76" s="1" t="s">
        <v>20</v>
      </c>
      <c r="N76" s="1" t="str">
        <f t="shared" si="2"/>
        <v>low</v>
      </c>
    </row>
    <row r="77" spans="1:14" x14ac:dyDescent="0.25">
      <c r="A77" s="1">
        <v>77</v>
      </c>
      <c r="B77" s="1">
        <v>6</v>
      </c>
      <c r="C77" s="1">
        <v>26</v>
      </c>
      <c r="D77" s="1">
        <v>2026</v>
      </c>
      <c r="E77" s="1" t="s">
        <v>9</v>
      </c>
      <c r="F77" s="1" t="s">
        <v>15</v>
      </c>
      <c r="G77" s="1" t="s">
        <v>38</v>
      </c>
      <c r="H77" s="1" t="s">
        <v>29</v>
      </c>
      <c r="I77" s="1">
        <v>4</v>
      </c>
      <c r="J77" s="1">
        <v>95</v>
      </c>
      <c r="K77" s="1">
        <v>380</v>
      </c>
      <c r="L77" s="1" t="s">
        <v>30</v>
      </c>
      <c r="M77" s="1" t="s">
        <v>13</v>
      </c>
      <c r="N77" s="1" t="str">
        <f t="shared" si="2"/>
        <v>low</v>
      </c>
    </row>
    <row r="78" spans="1:14" x14ac:dyDescent="0.25">
      <c r="A78" s="1">
        <v>78</v>
      </c>
      <c r="B78" s="1">
        <v>4</v>
      </c>
      <c r="C78" s="1">
        <v>3</v>
      </c>
      <c r="D78" s="1">
        <v>2026</v>
      </c>
      <c r="E78" s="1" t="s">
        <v>37</v>
      </c>
      <c r="F78" s="1" t="s">
        <v>10</v>
      </c>
      <c r="G78" s="1" t="s">
        <v>16</v>
      </c>
      <c r="H78" s="1" t="s">
        <v>12</v>
      </c>
      <c r="I78" s="1">
        <v>9</v>
      </c>
      <c r="J78" s="1">
        <v>1200</v>
      </c>
      <c r="K78" s="1">
        <v>10800</v>
      </c>
      <c r="L78" s="1" t="s">
        <v>17</v>
      </c>
      <c r="M78" s="1" t="s">
        <v>22</v>
      </c>
      <c r="N78" s="1" t="str">
        <f t="shared" si="2"/>
        <v>high</v>
      </c>
    </row>
    <row r="79" spans="1:14" x14ac:dyDescent="0.25">
      <c r="A79" s="1">
        <v>79</v>
      </c>
      <c r="B79" s="1">
        <v>8</v>
      </c>
      <c r="C79" s="1">
        <v>26</v>
      </c>
      <c r="D79" s="1">
        <v>2026</v>
      </c>
      <c r="E79" s="1" t="s">
        <v>14</v>
      </c>
      <c r="F79" s="1" t="s">
        <v>15</v>
      </c>
      <c r="G79" s="1" t="s">
        <v>11</v>
      </c>
      <c r="H79" s="1" t="s">
        <v>12</v>
      </c>
      <c r="I79" s="1">
        <v>8</v>
      </c>
      <c r="J79" s="1">
        <v>250</v>
      </c>
      <c r="K79" s="1">
        <v>2000</v>
      </c>
      <c r="L79" s="1" t="s">
        <v>36</v>
      </c>
      <c r="M79" s="1" t="s">
        <v>32</v>
      </c>
      <c r="N79" s="1" t="str">
        <f t="shared" si="2"/>
        <v>high</v>
      </c>
    </row>
    <row r="80" spans="1:14" x14ac:dyDescent="0.25">
      <c r="A80" s="1">
        <v>80</v>
      </c>
      <c r="B80" s="1">
        <v>6</v>
      </c>
      <c r="C80" s="1">
        <v>16</v>
      </c>
      <c r="D80" s="1">
        <v>2026</v>
      </c>
      <c r="E80" s="1" t="s">
        <v>31</v>
      </c>
      <c r="F80" s="1" t="s">
        <v>43</v>
      </c>
      <c r="G80" s="1" t="s">
        <v>11</v>
      </c>
      <c r="H80" s="1" t="s">
        <v>12</v>
      </c>
      <c r="I80" s="1">
        <v>10</v>
      </c>
      <c r="J80" s="1">
        <v>250</v>
      </c>
      <c r="K80" s="1">
        <v>2500</v>
      </c>
      <c r="L80" s="1" t="s">
        <v>34</v>
      </c>
      <c r="M80" s="1" t="s">
        <v>32</v>
      </c>
      <c r="N80" s="1" t="str">
        <f t="shared" si="2"/>
        <v>high</v>
      </c>
    </row>
    <row r="81" spans="1:14" x14ac:dyDescent="0.25">
      <c r="A81" s="1">
        <v>81</v>
      </c>
      <c r="B81" s="1">
        <v>3</v>
      </c>
      <c r="C81" s="1">
        <v>15</v>
      </c>
      <c r="D81" s="1">
        <v>2026</v>
      </c>
      <c r="E81" s="1" t="s">
        <v>9</v>
      </c>
      <c r="F81" s="1" t="s">
        <v>10</v>
      </c>
      <c r="G81" s="1" t="s">
        <v>28</v>
      </c>
      <c r="H81" s="1" t="s">
        <v>29</v>
      </c>
      <c r="I81" s="1">
        <v>8</v>
      </c>
      <c r="J81" s="1">
        <v>180</v>
      </c>
      <c r="K81" s="1">
        <v>1440</v>
      </c>
      <c r="L81" s="1" t="s">
        <v>17</v>
      </c>
      <c r="M81" s="1" t="s">
        <v>13</v>
      </c>
      <c r="N81" s="1" t="str">
        <f t="shared" si="2"/>
        <v>high</v>
      </c>
    </row>
    <row r="82" spans="1:14" x14ac:dyDescent="0.25">
      <c r="A82" s="1">
        <v>82</v>
      </c>
      <c r="B82" s="1">
        <v>4</v>
      </c>
      <c r="C82" s="1">
        <v>7</v>
      </c>
      <c r="D82" s="1">
        <v>2026</v>
      </c>
      <c r="E82" s="1" t="s">
        <v>18</v>
      </c>
      <c r="F82" s="1" t="s">
        <v>15</v>
      </c>
      <c r="G82" s="1" t="s">
        <v>11</v>
      </c>
      <c r="H82" s="1" t="s">
        <v>12</v>
      </c>
      <c r="I82" s="1">
        <v>3</v>
      </c>
      <c r="J82" s="1">
        <v>250</v>
      </c>
      <c r="K82" s="1">
        <v>750</v>
      </c>
      <c r="L82" s="1" t="s">
        <v>34</v>
      </c>
      <c r="M82" s="1" t="s">
        <v>13</v>
      </c>
      <c r="N82" s="1" t="str">
        <f t="shared" si="2"/>
        <v>high</v>
      </c>
    </row>
    <row r="83" spans="1:14" x14ac:dyDescent="0.25">
      <c r="A83" s="1">
        <v>83</v>
      </c>
      <c r="B83" s="1">
        <v>4</v>
      </c>
      <c r="C83" s="1">
        <v>10</v>
      </c>
      <c r="D83" s="1">
        <v>2026</v>
      </c>
      <c r="E83" s="1" t="s">
        <v>37</v>
      </c>
      <c r="F83" s="1" t="s">
        <v>15</v>
      </c>
      <c r="G83" s="1" t="s">
        <v>28</v>
      </c>
      <c r="H83" s="1" t="s">
        <v>29</v>
      </c>
      <c r="I83" s="1">
        <v>2</v>
      </c>
      <c r="J83" s="1">
        <v>0</v>
      </c>
      <c r="K83" s="1">
        <v>0</v>
      </c>
      <c r="L83" s="1" t="s">
        <v>34</v>
      </c>
      <c r="M83" s="1" t="s">
        <v>20</v>
      </c>
      <c r="N83" s="1" t="str">
        <f t="shared" si="2"/>
        <v>low</v>
      </c>
    </row>
    <row r="84" spans="1:14" x14ac:dyDescent="0.25">
      <c r="A84" s="1">
        <v>84</v>
      </c>
      <c r="B84" s="1">
        <v>1</v>
      </c>
      <c r="C84" s="1">
        <v>18</v>
      </c>
      <c r="D84" s="1">
        <v>2026</v>
      </c>
      <c r="E84" s="1" t="s">
        <v>9</v>
      </c>
      <c r="F84" s="1" t="s">
        <v>10</v>
      </c>
      <c r="G84" s="1" t="s">
        <v>28</v>
      </c>
      <c r="H84" s="1" t="s">
        <v>29</v>
      </c>
      <c r="I84" s="1">
        <v>1</v>
      </c>
      <c r="J84" s="1">
        <v>180</v>
      </c>
      <c r="K84" s="1">
        <v>180</v>
      </c>
      <c r="L84" s="1" t="s">
        <v>17</v>
      </c>
      <c r="M84" s="1" t="s">
        <v>24</v>
      </c>
      <c r="N84" s="1" t="str">
        <f t="shared" si="2"/>
        <v>low</v>
      </c>
    </row>
    <row r="85" spans="1:14" x14ac:dyDescent="0.25">
      <c r="A85" s="1">
        <v>85</v>
      </c>
      <c r="B85" s="1">
        <v>8</v>
      </c>
      <c r="C85" s="1">
        <v>16</v>
      </c>
      <c r="D85" s="1">
        <v>2026</v>
      </c>
      <c r="E85" s="1" t="s">
        <v>18</v>
      </c>
      <c r="F85" s="1" t="s">
        <v>15</v>
      </c>
      <c r="G85" s="1" t="s">
        <v>26</v>
      </c>
      <c r="H85" s="1" t="s">
        <v>27</v>
      </c>
      <c r="I85" s="1">
        <v>5</v>
      </c>
      <c r="J85" s="1">
        <v>5</v>
      </c>
      <c r="K85" s="1">
        <v>25</v>
      </c>
      <c r="L85" s="1" t="s">
        <v>36</v>
      </c>
      <c r="M85" s="1" t="s">
        <v>22</v>
      </c>
      <c r="N85" s="1" t="str">
        <f t="shared" si="2"/>
        <v>low</v>
      </c>
    </row>
    <row r="86" spans="1:14" x14ac:dyDescent="0.25">
      <c r="A86" s="1">
        <v>86</v>
      </c>
      <c r="B86" s="1">
        <v>7</v>
      </c>
      <c r="C86" s="1">
        <v>16</v>
      </c>
      <c r="D86" s="1">
        <v>2026</v>
      </c>
      <c r="E86" s="1" t="s">
        <v>44</v>
      </c>
      <c r="F86" s="1" t="s">
        <v>43</v>
      </c>
      <c r="G86" s="1" t="s">
        <v>16</v>
      </c>
      <c r="H86" s="1" t="s">
        <v>12</v>
      </c>
      <c r="I86" s="1">
        <v>2</v>
      </c>
      <c r="J86" s="1">
        <v>1200</v>
      </c>
      <c r="K86" s="1">
        <v>2400</v>
      </c>
      <c r="L86" s="1" t="s">
        <v>36</v>
      </c>
      <c r="M86" s="1" t="s">
        <v>13</v>
      </c>
      <c r="N86" s="1" t="str">
        <f t="shared" si="2"/>
        <v>high</v>
      </c>
    </row>
    <row r="87" spans="1:14" x14ac:dyDescent="0.25">
      <c r="A87" s="1">
        <v>87</v>
      </c>
      <c r="B87" s="1">
        <v>4</v>
      </c>
      <c r="C87" s="1">
        <v>4</v>
      </c>
      <c r="D87" s="1">
        <v>2026</v>
      </c>
      <c r="E87" s="1" t="s">
        <v>31</v>
      </c>
      <c r="F87" s="1" t="s">
        <v>10</v>
      </c>
      <c r="G87" s="1" t="s">
        <v>28</v>
      </c>
      <c r="H87" s="1" t="s">
        <v>29</v>
      </c>
      <c r="I87" s="1">
        <v>2</v>
      </c>
      <c r="J87" s="1">
        <v>180</v>
      </c>
      <c r="K87" s="1">
        <v>360</v>
      </c>
      <c r="L87" s="1" t="s">
        <v>36</v>
      </c>
      <c r="M87" s="1" t="s">
        <v>13</v>
      </c>
      <c r="N87" s="1" t="str">
        <f t="shared" si="2"/>
        <v>low</v>
      </c>
    </row>
    <row r="88" spans="1:14" x14ac:dyDescent="0.25">
      <c r="A88" s="1">
        <v>88</v>
      </c>
      <c r="B88" s="1">
        <v>8</v>
      </c>
      <c r="C88" s="1">
        <v>10</v>
      </c>
      <c r="D88" s="1">
        <v>2026</v>
      </c>
      <c r="E88" s="1" t="s">
        <v>35</v>
      </c>
      <c r="F88" s="1" t="s">
        <v>10</v>
      </c>
      <c r="G88" s="1" t="s">
        <v>38</v>
      </c>
      <c r="H88" s="1" t="s">
        <v>29</v>
      </c>
      <c r="I88" s="1">
        <v>8</v>
      </c>
      <c r="J88" s="1">
        <v>95</v>
      </c>
      <c r="K88" s="1">
        <v>760</v>
      </c>
      <c r="L88" s="1" t="s">
        <v>34</v>
      </c>
      <c r="M88" s="1" t="s">
        <v>24</v>
      </c>
      <c r="N88" s="1" t="str">
        <f t="shared" si="2"/>
        <v>high</v>
      </c>
    </row>
    <row r="89" spans="1:14" x14ac:dyDescent="0.25">
      <c r="A89" s="1">
        <v>89</v>
      </c>
      <c r="B89" s="1">
        <v>5</v>
      </c>
      <c r="C89" s="1">
        <v>22</v>
      </c>
      <c r="D89" s="1">
        <v>2026</v>
      </c>
      <c r="E89" s="1" t="s">
        <v>44</v>
      </c>
      <c r="F89" s="1" t="s">
        <v>10</v>
      </c>
      <c r="G89" s="1" t="s">
        <v>19</v>
      </c>
      <c r="H89" s="1" t="s">
        <v>12</v>
      </c>
      <c r="I89" s="1">
        <v>4</v>
      </c>
      <c r="J89" s="1">
        <v>25</v>
      </c>
      <c r="K89" s="1">
        <v>100</v>
      </c>
      <c r="L89" s="1" t="s">
        <v>36</v>
      </c>
      <c r="M89" s="1" t="s">
        <v>24</v>
      </c>
      <c r="N89" s="1" t="str">
        <f t="shared" si="2"/>
        <v>low</v>
      </c>
    </row>
    <row r="90" spans="1:14" x14ac:dyDescent="0.25">
      <c r="A90" s="1">
        <v>90</v>
      </c>
      <c r="B90" s="1">
        <v>12</v>
      </c>
      <c r="C90" s="1">
        <v>20</v>
      </c>
      <c r="D90" s="1">
        <v>2026</v>
      </c>
      <c r="E90" s="1" t="s">
        <v>18</v>
      </c>
      <c r="F90" s="1" t="s">
        <v>15</v>
      </c>
      <c r="G90" s="1" t="s">
        <v>38</v>
      </c>
      <c r="H90" s="1" t="s">
        <v>29</v>
      </c>
      <c r="I90" s="1">
        <v>0</v>
      </c>
      <c r="J90" s="1">
        <v>95</v>
      </c>
      <c r="K90" s="1">
        <v>0</v>
      </c>
      <c r="L90" s="1" t="s">
        <v>30</v>
      </c>
      <c r="M90" s="1" t="s">
        <v>22</v>
      </c>
      <c r="N90" s="1" t="str">
        <f t="shared" si="2"/>
        <v>low</v>
      </c>
    </row>
    <row r="91" spans="1:14" x14ac:dyDescent="0.25">
      <c r="A91" s="1">
        <v>91</v>
      </c>
      <c r="B91" s="1">
        <v>5</v>
      </c>
      <c r="C91" s="1">
        <v>26</v>
      </c>
      <c r="D91" s="1">
        <v>2026</v>
      </c>
      <c r="E91" s="1" t="s">
        <v>35</v>
      </c>
      <c r="F91" s="1" t="s">
        <v>10</v>
      </c>
      <c r="G91" s="1" t="s">
        <v>16</v>
      </c>
      <c r="H91" s="1" t="s">
        <v>12</v>
      </c>
      <c r="I91" s="1">
        <v>4</v>
      </c>
      <c r="J91" s="1">
        <v>1200</v>
      </c>
      <c r="K91" s="1">
        <v>4800</v>
      </c>
      <c r="L91" s="1" t="s">
        <v>17</v>
      </c>
      <c r="M91" s="1" t="s">
        <v>20</v>
      </c>
      <c r="N91" s="1" t="str">
        <f t="shared" si="2"/>
        <v>high</v>
      </c>
    </row>
    <row r="92" spans="1:14" x14ac:dyDescent="0.25">
      <c r="A92" s="1">
        <v>92</v>
      </c>
      <c r="B92" s="1">
        <v>2</v>
      </c>
      <c r="C92" s="1">
        <v>2</v>
      </c>
      <c r="D92" s="1">
        <v>2026</v>
      </c>
      <c r="E92" s="1" t="s">
        <v>21</v>
      </c>
      <c r="F92" s="1" t="s">
        <v>15</v>
      </c>
      <c r="G92" s="1" t="s">
        <v>28</v>
      </c>
      <c r="H92" s="1" t="s">
        <v>29</v>
      </c>
      <c r="I92" s="1">
        <v>3</v>
      </c>
      <c r="J92" s="1">
        <v>180</v>
      </c>
      <c r="K92" s="1">
        <v>540</v>
      </c>
      <c r="L92" s="1" t="s">
        <v>30</v>
      </c>
      <c r="M92" s="1" t="s">
        <v>22</v>
      </c>
      <c r="N92" s="1" t="str">
        <f t="shared" si="2"/>
        <v>high</v>
      </c>
    </row>
    <row r="93" spans="1:14" x14ac:dyDescent="0.25">
      <c r="A93" s="1">
        <v>93</v>
      </c>
      <c r="B93" s="1">
        <v>12</v>
      </c>
      <c r="C93" s="1">
        <v>10</v>
      </c>
      <c r="D93" s="1">
        <v>2026</v>
      </c>
      <c r="E93" s="1" t="s">
        <v>33</v>
      </c>
      <c r="F93" s="1" t="s">
        <v>15</v>
      </c>
      <c r="G93" s="1" t="s">
        <v>16</v>
      </c>
      <c r="H93" s="1" t="s">
        <v>12</v>
      </c>
      <c r="I93" s="1">
        <v>8</v>
      </c>
      <c r="J93" s="1">
        <v>1200</v>
      </c>
      <c r="K93" s="1">
        <v>9600</v>
      </c>
      <c r="L93" s="1" t="s">
        <v>17</v>
      </c>
      <c r="M93" s="1" t="s">
        <v>13</v>
      </c>
      <c r="N93" s="1" t="str">
        <f t="shared" si="2"/>
        <v>high</v>
      </c>
    </row>
    <row r="94" spans="1:14" x14ac:dyDescent="0.25">
      <c r="A94" s="1">
        <v>94</v>
      </c>
      <c r="B94" s="1">
        <v>12</v>
      </c>
      <c r="C94" s="1">
        <v>11</v>
      </c>
      <c r="D94" s="1">
        <v>2026</v>
      </c>
      <c r="E94" s="1" t="s">
        <v>35</v>
      </c>
      <c r="F94" s="1" t="s">
        <v>15</v>
      </c>
      <c r="G94" s="1" t="s">
        <v>16</v>
      </c>
      <c r="H94" s="1" t="s">
        <v>12</v>
      </c>
      <c r="I94" s="1">
        <v>0</v>
      </c>
      <c r="J94" s="1">
        <v>1200</v>
      </c>
      <c r="K94" s="1">
        <v>0</v>
      </c>
      <c r="L94" s="1" t="s">
        <v>17</v>
      </c>
      <c r="M94" s="1" t="s">
        <v>13</v>
      </c>
      <c r="N94" s="1" t="str">
        <f t="shared" si="2"/>
        <v>low</v>
      </c>
    </row>
    <row r="95" spans="1:14" x14ac:dyDescent="0.25">
      <c r="A95" s="1">
        <v>95</v>
      </c>
      <c r="B95" s="1">
        <v>11</v>
      </c>
      <c r="C95" s="1">
        <v>27</v>
      </c>
      <c r="D95" s="1">
        <v>2026</v>
      </c>
      <c r="E95" s="1" t="s">
        <v>9</v>
      </c>
      <c r="F95" s="1" t="s">
        <v>43</v>
      </c>
      <c r="G95" s="1" t="s">
        <v>26</v>
      </c>
      <c r="H95" s="1" t="s">
        <v>27</v>
      </c>
      <c r="I95" s="1">
        <v>0</v>
      </c>
      <c r="J95" s="1">
        <v>5</v>
      </c>
      <c r="K95" s="1">
        <v>0</v>
      </c>
      <c r="L95" s="1" t="s">
        <v>23</v>
      </c>
      <c r="M95" s="1" t="s">
        <v>13</v>
      </c>
      <c r="N95" s="1" t="str">
        <f t="shared" si="2"/>
        <v>low</v>
      </c>
    </row>
    <row r="96" spans="1:14" x14ac:dyDescent="0.25">
      <c r="A96" s="1">
        <v>96</v>
      </c>
      <c r="B96" s="1">
        <v>5</v>
      </c>
      <c r="C96" s="1">
        <v>6</v>
      </c>
      <c r="D96" s="1">
        <v>2026</v>
      </c>
      <c r="E96" s="1" t="s">
        <v>35</v>
      </c>
      <c r="F96" s="1" t="s">
        <v>10</v>
      </c>
      <c r="G96" s="1" t="s">
        <v>11</v>
      </c>
      <c r="H96" s="1" t="s">
        <v>12</v>
      </c>
      <c r="I96" s="1">
        <v>8</v>
      </c>
      <c r="J96" s="1">
        <v>250</v>
      </c>
      <c r="K96" s="1">
        <v>2000</v>
      </c>
      <c r="L96" s="1" t="s">
        <v>17</v>
      </c>
      <c r="M96" s="1" t="s">
        <v>22</v>
      </c>
      <c r="N96" s="1" t="str">
        <f t="shared" si="2"/>
        <v>high</v>
      </c>
    </row>
    <row r="97" spans="1:14" x14ac:dyDescent="0.25">
      <c r="A97" s="1">
        <v>97</v>
      </c>
      <c r="B97" s="1">
        <v>6</v>
      </c>
      <c r="C97" s="1">
        <v>11</v>
      </c>
      <c r="D97" s="1">
        <v>2026</v>
      </c>
      <c r="E97" s="1" t="s">
        <v>44</v>
      </c>
      <c r="F97" s="1" t="s">
        <v>10</v>
      </c>
      <c r="G97" s="1" t="s">
        <v>28</v>
      </c>
      <c r="H97" s="1" t="s">
        <v>29</v>
      </c>
      <c r="I97" s="1">
        <v>7</v>
      </c>
      <c r="J97" s="1">
        <v>180</v>
      </c>
      <c r="K97" s="1">
        <v>1260</v>
      </c>
      <c r="L97" s="1" t="s">
        <v>30</v>
      </c>
      <c r="M97" s="1" t="s">
        <v>22</v>
      </c>
      <c r="N97" s="1" t="str">
        <f t="shared" si="2"/>
        <v>high</v>
      </c>
    </row>
    <row r="98" spans="1:14" x14ac:dyDescent="0.25">
      <c r="A98" s="1">
        <v>98</v>
      </c>
      <c r="B98" s="1">
        <v>8</v>
      </c>
      <c r="C98" s="1">
        <v>3</v>
      </c>
      <c r="D98" s="1">
        <v>2026</v>
      </c>
      <c r="E98" s="1" t="s">
        <v>25</v>
      </c>
      <c r="F98" s="1" t="s">
        <v>15</v>
      </c>
      <c r="G98" s="1" t="s">
        <v>26</v>
      </c>
      <c r="H98" s="1" t="s">
        <v>27</v>
      </c>
      <c r="I98" s="1">
        <v>1</v>
      </c>
      <c r="J98" s="1">
        <v>5</v>
      </c>
      <c r="K98" s="1">
        <v>5</v>
      </c>
      <c r="L98" s="1" t="s">
        <v>23</v>
      </c>
      <c r="M98" s="1" t="s">
        <v>13</v>
      </c>
      <c r="N98" s="1" t="str">
        <f t="shared" si="2"/>
        <v>low</v>
      </c>
    </row>
    <row r="99" spans="1:14" x14ac:dyDescent="0.25">
      <c r="A99" s="1">
        <v>99</v>
      </c>
      <c r="B99" s="1">
        <v>8</v>
      </c>
      <c r="C99" s="1">
        <v>14</v>
      </c>
      <c r="D99" s="1">
        <v>2026</v>
      </c>
      <c r="E99" s="1" t="s">
        <v>14</v>
      </c>
      <c r="F99" s="1" t="s">
        <v>10</v>
      </c>
      <c r="G99" s="1" t="s">
        <v>16</v>
      </c>
      <c r="H99" s="1" t="s">
        <v>12</v>
      </c>
      <c r="I99" s="1">
        <v>9</v>
      </c>
      <c r="J99" s="1">
        <v>1200</v>
      </c>
      <c r="K99" s="1">
        <v>10800</v>
      </c>
      <c r="L99" s="1" t="s">
        <v>23</v>
      </c>
      <c r="M99" s="1" t="s">
        <v>22</v>
      </c>
      <c r="N99" s="1" t="str">
        <f t="shared" si="2"/>
        <v>high</v>
      </c>
    </row>
    <row r="100" spans="1:14" x14ac:dyDescent="0.25">
      <c r="A100" s="1">
        <v>100</v>
      </c>
      <c r="B100" s="1">
        <v>5</v>
      </c>
      <c r="C100" s="1">
        <v>18</v>
      </c>
      <c r="D100" s="1">
        <v>2026</v>
      </c>
      <c r="E100" s="1" t="s">
        <v>21</v>
      </c>
      <c r="F100" s="1" t="s">
        <v>15</v>
      </c>
      <c r="G100" s="1" t="s">
        <v>16</v>
      </c>
      <c r="H100" s="1" t="s">
        <v>12</v>
      </c>
      <c r="I100" s="1">
        <v>4</v>
      </c>
      <c r="J100" s="1">
        <v>1200</v>
      </c>
      <c r="K100" s="1">
        <v>4800</v>
      </c>
      <c r="L100" s="1" t="s">
        <v>17</v>
      </c>
      <c r="M100" s="1" t="s">
        <v>24</v>
      </c>
      <c r="N100" s="1" t="str">
        <f t="shared" si="2"/>
        <v>high</v>
      </c>
    </row>
    <row r="102" spans="1:14" x14ac:dyDescent="0.25">
      <c r="E102" s="4" t="s">
        <v>4</v>
      </c>
      <c r="F102" s="4" t="s">
        <v>42</v>
      </c>
      <c r="J102" s="4" t="s">
        <v>46</v>
      </c>
      <c r="K102">
        <f>SUM(K2:K100)</f>
        <v>199705</v>
      </c>
    </row>
    <row r="103" spans="1:14" x14ac:dyDescent="0.25">
      <c r="E103" t="s">
        <v>12</v>
      </c>
      <c r="F103">
        <f>SUMIF($H$2:$H$100,E103,$K$2:$K$100)</f>
        <v>181250</v>
      </c>
      <c r="J103" t="s">
        <v>47</v>
      </c>
      <c r="K103">
        <f>AVERAGE(K2:K100)</f>
        <v>2017.2222222222222</v>
      </c>
    </row>
    <row r="104" spans="1:14" x14ac:dyDescent="0.25">
      <c r="E104" t="s">
        <v>29</v>
      </c>
      <c r="F104">
        <f>SUMIF($H$2:$H$100,E104,$K$2:$K$100)</f>
        <v>18115</v>
      </c>
      <c r="J104" t="s">
        <v>48</v>
      </c>
      <c r="K104">
        <f>MAX(K2:K100)</f>
        <v>12000</v>
      </c>
    </row>
    <row r="105" spans="1:14" x14ac:dyDescent="0.25">
      <c r="E105" t="s">
        <v>27</v>
      </c>
      <c r="F105">
        <f>SUMIF($H$2:$H$100,E105,$K$2:$K$100)</f>
        <v>340</v>
      </c>
      <c r="J105" t="s">
        <v>49</v>
      </c>
      <c r="K105" s="5">
        <f t="array" ref="K105">MIN(IF(K2:K100&gt;0,K2:K100))</f>
        <v>5</v>
      </c>
    </row>
    <row r="106" spans="1:14" x14ac:dyDescent="0.25">
      <c r="J106" t="s">
        <v>52</v>
      </c>
      <c r="K106">
        <f>COUNT(K2:K100)</f>
        <v>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6" sqref="B6"/>
    </sheetView>
  </sheetViews>
  <sheetFormatPr defaultRowHeight="15" x14ac:dyDescent="0.25"/>
  <cols>
    <col min="1" max="1" width="11.28515625" customWidth="1"/>
    <col min="2" max="2" width="17.28515625" bestFit="1" customWidth="1"/>
  </cols>
  <sheetData>
    <row r="3" spans="1:2" x14ac:dyDescent="0.25">
      <c r="A3" s="2" t="s">
        <v>4</v>
      </c>
      <c r="B3" t="s">
        <v>50</v>
      </c>
    </row>
    <row r="4" spans="1:2" x14ac:dyDescent="0.25">
      <c r="A4" s="3" t="s">
        <v>12</v>
      </c>
      <c r="B4" s="1">
        <v>181250</v>
      </c>
    </row>
    <row r="5" spans="1:2" x14ac:dyDescent="0.25">
      <c r="A5" s="3" t="s">
        <v>29</v>
      </c>
      <c r="B5" s="1">
        <v>18115</v>
      </c>
    </row>
    <row r="6" spans="1:2" x14ac:dyDescent="0.25">
      <c r="A6" s="3" t="s">
        <v>27</v>
      </c>
      <c r="B6" s="1">
        <v>340</v>
      </c>
    </row>
    <row r="7" spans="1:2" x14ac:dyDescent="0.25">
      <c r="A7" s="3" t="s">
        <v>51</v>
      </c>
      <c r="B7" s="1">
        <v>199705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C17" sqref="C17"/>
    </sheetView>
  </sheetViews>
  <sheetFormatPr defaultRowHeight="15" x14ac:dyDescent="0.25"/>
  <cols>
    <col min="1" max="1" width="11.28515625" customWidth="1"/>
    <col min="2" max="2" width="17.28515625" bestFit="1" customWidth="1"/>
  </cols>
  <sheetData>
    <row r="3" spans="1:2" x14ac:dyDescent="0.25">
      <c r="A3" s="2" t="s">
        <v>7</v>
      </c>
      <c r="B3" t="s">
        <v>50</v>
      </c>
    </row>
    <row r="4" spans="1:2" x14ac:dyDescent="0.25">
      <c r="A4" s="3" t="s">
        <v>23</v>
      </c>
      <c r="B4" s="1">
        <v>38055</v>
      </c>
    </row>
    <row r="5" spans="1:2" x14ac:dyDescent="0.25">
      <c r="A5" s="3" t="s">
        <v>17</v>
      </c>
      <c r="B5" s="1">
        <v>58795</v>
      </c>
    </row>
    <row r="6" spans="1:2" x14ac:dyDescent="0.25">
      <c r="A6" s="3" t="s">
        <v>36</v>
      </c>
      <c r="B6" s="1">
        <v>47855</v>
      </c>
    </row>
    <row r="7" spans="1:2" x14ac:dyDescent="0.25">
      <c r="A7" s="3" t="s">
        <v>30</v>
      </c>
      <c r="B7" s="1">
        <v>25130</v>
      </c>
    </row>
    <row r="8" spans="1:2" x14ac:dyDescent="0.25">
      <c r="A8" s="3" t="s">
        <v>34</v>
      </c>
      <c r="B8" s="1">
        <v>29835</v>
      </c>
    </row>
    <row r="9" spans="1:2" x14ac:dyDescent="0.25">
      <c r="A9" s="3" t="s">
        <v>43</v>
      </c>
      <c r="B9" s="1">
        <v>35</v>
      </c>
    </row>
    <row r="10" spans="1:2" x14ac:dyDescent="0.25">
      <c r="A10" s="3" t="s">
        <v>51</v>
      </c>
      <c r="B10" s="1">
        <v>199705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2" workbookViewId="0">
      <selection activeCell="D21" sqref="D21"/>
    </sheetView>
  </sheetViews>
  <sheetFormatPr defaultRowHeight="15" x14ac:dyDescent="0.25"/>
  <cols>
    <col min="1" max="1" width="11.28515625" customWidth="1"/>
    <col min="2" max="2" width="17.28515625" bestFit="1" customWidth="1"/>
  </cols>
  <sheetData>
    <row r="3" spans="1:2" x14ac:dyDescent="0.25">
      <c r="A3" s="2" t="s">
        <v>2</v>
      </c>
      <c r="B3" t="s">
        <v>50</v>
      </c>
    </row>
    <row r="4" spans="1:2" x14ac:dyDescent="0.25">
      <c r="A4" s="3" t="s">
        <v>10</v>
      </c>
      <c r="B4" s="1">
        <v>110105</v>
      </c>
    </row>
    <row r="5" spans="1:2" x14ac:dyDescent="0.25">
      <c r="A5" s="3" t="s">
        <v>15</v>
      </c>
      <c r="B5" s="1">
        <v>79230</v>
      </c>
    </row>
    <row r="6" spans="1:2" x14ac:dyDescent="0.25">
      <c r="A6" s="3" t="s">
        <v>43</v>
      </c>
      <c r="B6" s="1">
        <v>10370</v>
      </c>
    </row>
    <row r="7" spans="1:2" x14ac:dyDescent="0.25">
      <c r="A7" s="3" t="s">
        <v>51</v>
      </c>
      <c r="B7" s="1">
        <v>199705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DE8FE-8203-4A61-8CED-449FAC3D8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Total Sales by Category</vt:lpstr>
      <vt:lpstr>Total Sales by City</vt:lpstr>
      <vt:lpstr>Total Sales by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 Adepeju</dc:creator>
  <cp:lastModifiedBy>user</cp:lastModifiedBy>
  <dcterms:created xsi:type="dcterms:W3CDTF">2026-09-25T21:35:17Z</dcterms:created>
  <dcterms:modified xsi:type="dcterms:W3CDTF">2026-10-06T15:24:02Z</dcterms:modified>
</cp:coreProperties>
</file>